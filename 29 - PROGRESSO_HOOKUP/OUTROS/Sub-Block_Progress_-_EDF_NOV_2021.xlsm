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arlos.tomas\Documents\Medição\Nov_2021\"/>
    </mc:Choice>
  </mc:AlternateContent>
  <xr:revisionPtr revIDLastSave="0" documentId="13_ncr:1_{F7C77FCD-2B6E-4B11-A96E-25AC3DF5830C}" xr6:coauthVersionLast="47" xr6:coauthVersionMax="47" xr10:uidLastSave="{00000000-0000-0000-0000-000000000000}"/>
  <bookViews>
    <workbookView xWindow="-28920" yWindow="-120" windowWidth="29040" windowHeight="15840" firstSheet="1" activeTab="1" xr2:uid="{00000000-000D-0000-FFFF-FFFF00000000}"/>
  </bookViews>
  <sheets>
    <sheet name="Report" sheetId="3" state="hidden" r:id="rId1"/>
    <sheet name="Progress_Report" sheetId="33" r:id="rId2"/>
    <sheet name="Dados" sheetId="45" state="hidden" r:id="rId3"/>
    <sheet name="Planilha22" sheetId="28" state="hidden" r:id="rId4"/>
    <sheet name="Planilha23" sheetId="29" state="hidden" r:id="rId5"/>
    <sheet name="Planilha21" sheetId="27" state="hidden" r:id="rId6"/>
    <sheet name="Planilha20" sheetId="26" state="hidden" r:id="rId7"/>
    <sheet name="Planilha19" sheetId="25" state="hidden" r:id="rId8"/>
    <sheet name="Planilha18" sheetId="24" state="hidden" r:id="rId9"/>
    <sheet name="Planilha17" sheetId="23" state="hidden" r:id="rId10"/>
    <sheet name="Planilha16" sheetId="22" state="hidden" r:id="rId11"/>
    <sheet name="Planilha15" sheetId="21" state="hidden" r:id="rId12"/>
    <sheet name="Planilha14" sheetId="20" state="hidden" r:id="rId13"/>
    <sheet name="Planilha13" sheetId="19" state="hidden" r:id="rId14"/>
    <sheet name="Planilha12" sheetId="18" state="hidden" r:id="rId15"/>
    <sheet name="Planilha11" sheetId="17" state="hidden" r:id="rId16"/>
    <sheet name="Planilha10" sheetId="16" state="hidden" r:id="rId17"/>
    <sheet name="Planilha9" sheetId="15" state="hidden" r:id="rId18"/>
    <sheet name="Planilha8" sheetId="14" state="hidden" r:id="rId19"/>
    <sheet name="Planilha7" sheetId="13" state="hidden" r:id="rId20"/>
    <sheet name="Planilha6" sheetId="12" state="hidden" r:id="rId21"/>
    <sheet name="Planilha5" sheetId="11" state="hidden" r:id="rId22"/>
    <sheet name="Planilha4" sheetId="10" state="hidden" r:id="rId23"/>
    <sheet name="FAB" sheetId="5" state="hidden" r:id="rId24"/>
    <sheet name="MNT" sheetId="6" state="hidden" r:id="rId25"/>
    <sheet name="Planilha3" sheetId="9" state="hidden" r:id="rId26"/>
    <sheet name="Planilha2" sheetId="8" state="hidden" r:id="rId27"/>
    <sheet name="Planilha1" sheetId="4" state="hidden" r:id="rId28"/>
  </sheets>
  <definedNames>
    <definedName name="_xlnm._FilterDatabase" localSheetId="2" hidden="1">Dados!$A$1:$H$68</definedName>
    <definedName name="_xlnm._FilterDatabase" localSheetId="24" hidden="1">MNT!$A$1:$C$30</definedName>
    <definedName name="_xlnm.Print_Titles" localSheetId="1">Progress_Report!$1:$7</definedName>
    <definedName name="_xlnm.Print_Titles" localSheetId="0">Report!$1:$7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" i="33" l="1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5" i="33"/>
  <c r="J26" i="33"/>
  <c r="J27" i="33"/>
  <c r="J28" i="33"/>
  <c r="J29" i="33"/>
  <c r="J30" i="33"/>
  <c r="J31" i="33"/>
  <c r="J32" i="33"/>
  <c r="J33" i="33"/>
  <c r="J35" i="33"/>
  <c r="J36" i="33"/>
  <c r="J37" i="33"/>
  <c r="J38" i="33"/>
  <c r="J39" i="33"/>
  <c r="J40" i="33"/>
  <c r="J41" i="33"/>
  <c r="J42" i="33"/>
  <c r="J43" i="33"/>
  <c r="J44" i="33"/>
  <c r="J45" i="33"/>
  <c r="J46" i="33"/>
  <c r="J47" i="33"/>
  <c r="J48" i="33"/>
  <c r="J49" i="33"/>
  <c r="J50" i="33"/>
  <c r="J51" i="33"/>
  <c r="J52" i="33"/>
  <c r="J53" i="33"/>
  <c r="J54" i="33"/>
  <c r="J55" i="33"/>
  <c r="J56" i="33"/>
  <c r="J57" i="33"/>
  <c r="J58" i="33"/>
  <c r="J59" i="33"/>
  <c r="J60" i="33"/>
  <c r="J61" i="33"/>
  <c r="J62" i="33"/>
  <c r="J63" i="33"/>
  <c r="J64" i="33"/>
  <c r="J65" i="33"/>
  <c r="J66" i="33"/>
  <c r="J67" i="33"/>
  <c r="J68" i="33"/>
  <c r="J69" i="33"/>
  <c r="J70" i="33"/>
  <c r="J71" i="33"/>
  <c r="J72" i="33"/>
  <c r="J73" i="33"/>
  <c r="H11" i="33"/>
  <c r="G11" i="33" s="1"/>
  <c r="L11" i="33"/>
  <c r="K11" i="33" s="1"/>
  <c r="L9" i="33"/>
  <c r="L10" i="33"/>
  <c r="L12" i="33"/>
  <c r="L13" i="33"/>
  <c r="L14" i="33"/>
  <c r="L15" i="33"/>
  <c r="L16" i="33"/>
  <c r="L17" i="33"/>
  <c r="L18" i="33"/>
  <c r="L19" i="33"/>
  <c r="L20" i="33"/>
  <c r="L21" i="33"/>
  <c r="L22" i="33"/>
  <c r="L23" i="33"/>
  <c r="L24" i="33"/>
  <c r="L25" i="33"/>
  <c r="L26" i="33"/>
  <c r="L27" i="33"/>
  <c r="L28" i="33"/>
  <c r="L29" i="33"/>
  <c r="L30" i="33"/>
  <c r="L31" i="33"/>
  <c r="L32" i="33"/>
  <c r="L33" i="33"/>
  <c r="L35" i="33"/>
  <c r="L36" i="33"/>
  <c r="L37" i="33"/>
  <c r="L38" i="33"/>
  <c r="L39" i="33"/>
  <c r="L40" i="33"/>
  <c r="L41" i="33"/>
  <c r="L42" i="33"/>
  <c r="L43" i="33"/>
  <c r="L44" i="33"/>
  <c r="L45" i="33"/>
  <c r="L46" i="33"/>
  <c r="L47" i="33"/>
  <c r="L48" i="33"/>
  <c r="L49" i="33"/>
  <c r="L50" i="33"/>
  <c r="L51" i="33"/>
  <c r="L52" i="33"/>
  <c r="L53" i="33"/>
  <c r="L54" i="33"/>
  <c r="L55" i="33"/>
  <c r="L56" i="33"/>
  <c r="L57" i="33"/>
  <c r="L58" i="33"/>
  <c r="L59" i="33"/>
  <c r="L60" i="33"/>
  <c r="L61" i="33"/>
  <c r="L62" i="33"/>
  <c r="L63" i="33"/>
  <c r="L64" i="33"/>
  <c r="L65" i="33"/>
  <c r="L66" i="33"/>
  <c r="L67" i="33"/>
  <c r="L68" i="33"/>
  <c r="L69" i="33"/>
  <c r="L70" i="33"/>
  <c r="L71" i="33"/>
  <c r="L72" i="33"/>
  <c r="L73" i="33"/>
  <c r="L8" i="33"/>
  <c r="P9" i="45"/>
  <c r="Q9" i="45" s="1"/>
  <c r="P10" i="45" s="1"/>
  <c r="H9" i="33"/>
  <c r="H10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8" i="33"/>
  <c r="N11" i="33" l="1"/>
  <c r="M11" i="33"/>
  <c r="G16" i="33"/>
  <c r="G20" i="33"/>
  <c r="G24" i="33"/>
  <c r="G28" i="33"/>
  <c r="G32" i="33"/>
  <c r="G36" i="33"/>
  <c r="G40" i="33"/>
  <c r="G44" i="33"/>
  <c r="G48" i="33"/>
  <c r="G52" i="33"/>
  <c r="G56" i="33"/>
  <c r="G60" i="33"/>
  <c r="G64" i="33"/>
  <c r="G68" i="33"/>
  <c r="G72" i="33"/>
  <c r="G73" i="33"/>
  <c r="M10" i="33"/>
  <c r="M12" i="33"/>
  <c r="M15" i="33"/>
  <c r="N16" i="33"/>
  <c r="M19" i="33"/>
  <c r="K20" i="33"/>
  <c r="M23" i="33"/>
  <c r="N24" i="33"/>
  <c r="M27" i="33"/>
  <c r="N28" i="33"/>
  <c r="M31" i="33"/>
  <c r="M32" i="33"/>
  <c r="M35" i="33"/>
  <c r="K37" i="33"/>
  <c r="M39" i="33"/>
  <c r="K40" i="33"/>
  <c r="K41" i="33"/>
  <c r="M43" i="33"/>
  <c r="N45" i="33"/>
  <c r="M47" i="33"/>
  <c r="N48" i="33"/>
  <c r="M49" i="33"/>
  <c r="M51" i="33"/>
  <c r="K52" i="33"/>
  <c r="K53" i="33"/>
  <c r="M55" i="33"/>
  <c r="N56" i="33"/>
  <c r="K57" i="33"/>
  <c r="M59" i="33"/>
  <c r="M60" i="33"/>
  <c r="N61" i="33"/>
  <c r="M63" i="33"/>
  <c r="K64" i="33"/>
  <c r="M65" i="33"/>
  <c r="N67" i="33"/>
  <c r="N68" i="33"/>
  <c r="K69" i="33"/>
  <c r="M71" i="33"/>
  <c r="N72" i="33"/>
  <c r="M73" i="33"/>
  <c r="G12" i="33"/>
  <c r="K8" i="33"/>
  <c r="K9" i="33"/>
  <c r="K12" i="33"/>
  <c r="K13" i="33"/>
  <c r="K14" i="33"/>
  <c r="K17" i="33"/>
  <c r="K18" i="33"/>
  <c r="K21" i="33"/>
  <c r="K22" i="33"/>
  <c r="K25" i="33"/>
  <c r="K26" i="33"/>
  <c r="K29" i="33"/>
  <c r="K30" i="33"/>
  <c r="K33" i="33"/>
  <c r="K36" i="33"/>
  <c r="K38" i="33"/>
  <c r="K42" i="33"/>
  <c r="K44" i="33"/>
  <c r="K46" i="33"/>
  <c r="K48" i="33"/>
  <c r="K50" i="33"/>
  <c r="K54" i="33"/>
  <c r="K58" i="33"/>
  <c r="K60" i="33"/>
  <c r="K62" i="33"/>
  <c r="K66" i="33"/>
  <c r="K68" i="33"/>
  <c r="K70" i="33"/>
  <c r="G8" i="33"/>
  <c r="G9" i="33"/>
  <c r="G10" i="33"/>
  <c r="G13" i="33"/>
  <c r="G14" i="33"/>
  <c r="G15" i="33"/>
  <c r="G17" i="33"/>
  <c r="G18" i="33"/>
  <c r="G19" i="33"/>
  <c r="G21" i="33"/>
  <c r="G22" i="33"/>
  <c r="G23" i="33"/>
  <c r="G25" i="33"/>
  <c r="G26" i="33"/>
  <c r="G27" i="33"/>
  <c r="G29" i="33"/>
  <c r="G30" i="33"/>
  <c r="G31" i="33"/>
  <c r="G33" i="33"/>
  <c r="G35" i="33"/>
  <c r="G37" i="33"/>
  <c r="G38" i="33"/>
  <c r="G39" i="33"/>
  <c r="G41" i="33"/>
  <c r="G42" i="33"/>
  <c r="G43" i="33"/>
  <c r="G45" i="33"/>
  <c r="G46" i="33"/>
  <c r="G47" i="33"/>
  <c r="G49" i="33"/>
  <c r="G50" i="33"/>
  <c r="G51" i="33"/>
  <c r="G53" i="33"/>
  <c r="G54" i="33"/>
  <c r="G55" i="33"/>
  <c r="G57" i="33"/>
  <c r="G58" i="33"/>
  <c r="G59" i="33"/>
  <c r="G61" i="33"/>
  <c r="G62" i="33"/>
  <c r="G63" i="33"/>
  <c r="G65" i="33"/>
  <c r="G66" i="33"/>
  <c r="G67" i="33"/>
  <c r="G69" i="33"/>
  <c r="G70" i="33"/>
  <c r="G71" i="33"/>
  <c r="M8" i="33"/>
  <c r="N36" i="33"/>
  <c r="N44" i="33"/>
  <c r="N66" i="33"/>
  <c r="N40" i="33"/>
  <c r="N70" i="33"/>
  <c r="N9" i="33"/>
  <c r="N13" i="33"/>
  <c r="N14" i="33"/>
  <c r="N17" i="33"/>
  <c r="N18" i="33"/>
  <c r="N21" i="33"/>
  <c r="N22" i="33"/>
  <c r="N25" i="33"/>
  <c r="N26" i="33"/>
  <c r="N29" i="33"/>
  <c r="N30" i="33"/>
  <c r="N33" i="33"/>
  <c r="N38" i="33"/>
  <c r="N42" i="33"/>
  <c r="N46" i="33"/>
  <c r="N50" i="33"/>
  <c r="N54" i="33"/>
  <c r="N58" i="33"/>
  <c r="N62" i="33"/>
  <c r="M9" i="33"/>
  <c r="M13" i="33"/>
  <c r="M14" i="33"/>
  <c r="M17" i="33"/>
  <c r="M18" i="33"/>
  <c r="M21" i="33"/>
  <c r="M22" i="33"/>
  <c r="M25" i="33"/>
  <c r="M26" i="33"/>
  <c r="M29" i="33"/>
  <c r="M30" i="33"/>
  <c r="M33" i="33"/>
  <c r="M36" i="33"/>
  <c r="M38" i="33"/>
  <c r="M42" i="33"/>
  <c r="M44" i="33"/>
  <c r="M46" i="33"/>
  <c r="M50" i="33"/>
  <c r="M52" i="33"/>
  <c r="M54" i="33"/>
  <c r="M58" i="33"/>
  <c r="M62" i="33"/>
  <c r="M64" i="33"/>
  <c r="M66" i="33"/>
  <c r="M70" i="33"/>
  <c r="M48" i="33" l="1"/>
  <c r="M40" i="33"/>
  <c r="M24" i="33"/>
  <c r="M57" i="33"/>
  <c r="M56" i="33"/>
  <c r="N49" i="33"/>
  <c r="N60" i="33"/>
  <c r="N52" i="33"/>
  <c r="K72" i="33"/>
  <c r="K45" i="33"/>
  <c r="M37" i="33"/>
  <c r="N57" i="33"/>
  <c r="M69" i="33"/>
  <c r="N69" i="33"/>
  <c r="N12" i="33"/>
  <c r="K24" i="33"/>
  <c r="M68" i="33"/>
  <c r="M41" i="33"/>
  <c r="N64" i="33"/>
  <c r="N65" i="33"/>
  <c r="N32" i="33"/>
  <c r="K56" i="33"/>
  <c r="K28" i="33"/>
  <c r="M53" i="33"/>
  <c r="M20" i="33"/>
  <c r="N41" i="33"/>
  <c r="M61" i="33"/>
  <c r="M45" i="33"/>
  <c r="M28" i="33"/>
  <c r="K61" i="33"/>
  <c r="K49" i="33"/>
  <c r="K32" i="33"/>
  <c r="K16" i="33"/>
  <c r="M16" i="33"/>
  <c r="N53" i="33"/>
  <c r="N37" i="33"/>
  <c r="N20" i="33"/>
  <c r="K65" i="33"/>
  <c r="N47" i="33"/>
  <c r="N15" i="33"/>
  <c r="N35" i="33"/>
  <c r="N63" i="33"/>
  <c r="N19" i="33"/>
  <c r="N31" i="33"/>
  <c r="N51" i="33"/>
  <c r="N55" i="33"/>
  <c r="N23" i="33"/>
  <c r="N59" i="33"/>
  <c r="N27" i="33"/>
  <c r="K71" i="33"/>
  <c r="K67" i="33"/>
  <c r="K63" i="33"/>
  <c r="K59" i="33"/>
  <c r="K55" i="33"/>
  <c r="K51" i="33"/>
  <c r="K47" i="33"/>
  <c r="K43" i="33"/>
  <c r="K39" i="33"/>
  <c r="K35" i="33"/>
  <c r="K31" i="33"/>
  <c r="K27" i="33"/>
  <c r="K23" i="33"/>
  <c r="K19" i="33"/>
  <c r="K15" i="33"/>
  <c r="K10" i="33"/>
  <c r="N71" i="33"/>
  <c r="N39" i="33"/>
  <c r="N43" i="33"/>
  <c r="N10" i="33"/>
  <c r="M67" i="33"/>
  <c r="K73" i="33"/>
  <c r="N73" i="33"/>
  <c r="N8" i="33"/>
  <c r="M72" i="33"/>
  <c r="G74" i="33"/>
  <c r="F74" i="33"/>
  <c r="H4" i="33"/>
  <c r="M74" i="33" l="1"/>
  <c r="K74" i="33"/>
  <c r="F72" i="3"/>
  <c r="G15" i="18" l="1"/>
  <c r="I15" i="18"/>
  <c r="K15" i="18"/>
  <c r="M15" i="18"/>
  <c r="F16" i="18"/>
  <c r="L16" i="18"/>
  <c r="J16" i="18"/>
  <c r="H16" i="18"/>
  <c r="D7" i="18"/>
  <c r="F7" i="18"/>
  <c r="I7" i="18" l="1"/>
  <c r="I6" i="18"/>
  <c r="C2" i="6" l="1"/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K72" i="3" l="1"/>
  <c r="M72" i="3" l="1"/>
  <c r="I4" i="3" l="1"/>
  <c r="I72" i="3" l="1"/>
  <c r="G72" i="3"/>
  <c r="I64" i="33" l="1"/>
  <c r="I13" i="33"/>
  <c r="I63" i="33"/>
  <c r="I30" i="33"/>
  <c r="I35" i="33"/>
  <c r="I71" i="33"/>
  <c r="I28" i="33"/>
  <c r="I70" i="33"/>
  <c r="I50" i="33"/>
  <c r="I40" i="33"/>
  <c r="I27" i="33"/>
  <c r="I16" i="33"/>
  <c r="I43" i="33"/>
  <c r="I73" i="33"/>
  <c r="I53" i="33"/>
  <c r="I31" i="33"/>
  <c r="I20" i="33"/>
  <c r="I39" i="33"/>
  <c r="I72" i="33"/>
  <c r="I52" i="33"/>
  <c r="I42" i="33"/>
  <c r="I19" i="33"/>
  <c r="I62" i="33"/>
  <c r="I51" i="33"/>
  <c r="I41" i="33"/>
  <c r="I18" i="33"/>
  <c r="I67" i="33"/>
  <c r="I33" i="33"/>
  <c r="I61" i="33"/>
  <c r="I59" i="33"/>
  <c r="I29" i="33"/>
  <c r="I69" i="33"/>
  <c r="I60" i="33"/>
  <c r="I49" i="33"/>
  <c r="I38" i="33"/>
  <c r="I26" i="33"/>
  <c r="I14" i="33"/>
  <c r="I15" i="33"/>
  <c r="I44" i="33"/>
  <c r="I56" i="33"/>
  <c r="I23" i="33"/>
  <c r="I68" i="33"/>
  <c r="I58" i="33"/>
  <c r="I48" i="33"/>
  <c r="I37" i="33"/>
  <c r="I25" i="33"/>
  <c r="I12" i="33"/>
  <c r="I55" i="33"/>
  <c r="I21" i="33"/>
  <c r="I66" i="33"/>
  <c r="I57" i="33"/>
  <c r="I46" i="33"/>
  <c r="I36" i="33"/>
  <c r="I24" i="33"/>
  <c r="I10" i="33"/>
  <c r="I47" i="33"/>
  <c r="I17" i="33"/>
  <c r="I65" i="33"/>
  <c r="I54" i="33"/>
  <c r="I45" i="33"/>
  <c r="I32" i="33"/>
  <c r="I22" i="33"/>
  <c r="I9" i="33"/>
  <c r="I11" i="33"/>
  <c r="I8" i="33"/>
  <c r="I74" i="33"/>
</calcChain>
</file>

<file path=xl/sharedStrings.xml><?xml version="1.0" encoding="utf-8"?>
<sst xmlns="http://schemas.openxmlformats.org/spreadsheetml/2006/main" count="8924" uniqueCount="260">
  <si>
    <t>Date:</t>
  </si>
  <si>
    <t>3900.0000023.12.2</t>
  </si>
  <si>
    <r>
      <t xml:space="preserve">Project
</t>
    </r>
    <r>
      <rPr>
        <b/>
        <i/>
        <sz val="10"/>
        <color theme="0"/>
        <rFont val="Calibri"/>
        <family val="2"/>
        <scheme val="minor"/>
      </rPr>
      <t>Projeto</t>
    </r>
  </si>
  <si>
    <r>
      <t xml:space="preserve">Module
</t>
    </r>
    <r>
      <rPr>
        <b/>
        <i/>
        <sz val="10"/>
        <color theme="0"/>
        <rFont val="Calibri"/>
        <family val="2"/>
        <scheme val="minor"/>
      </rPr>
      <t>Módulo</t>
    </r>
  </si>
  <si>
    <r>
      <t xml:space="preserve">Block
</t>
    </r>
    <r>
      <rPr>
        <b/>
        <i/>
        <sz val="10"/>
        <color theme="0"/>
        <rFont val="Calibri"/>
        <family val="2"/>
        <scheme val="minor"/>
      </rPr>
      <t>DM</t>
    </r>
  </si>
  <si>
    <r>
      <t xml:space="preserve">Weight Project
</t>
    </r>
    <r>
      <rPr>
        <b/>
        <i/>
        <sz val="10"/>
        <color theme="0"/>
        <rFont val="Calibri"/>
        <family val="2"/>
        <scheme val="minor"/>
      </rPr>
      <t>Peso do Projeto</t>
    </r>
  </si>
  <si>
    <r>
      <t xml:space="preserve">F. Weight
</t>
    </r>
    <r>
      <rPr>
        <b/>
        <i/>
        <sz val="10"/>
        <color theme="0"/>
        <rFont val="Calibri"/>
        <family val="2"/>
        <scheme val="minor"/>
      </rPr>
      <t>Peso Aju.</t>
    </r>
  </si>
  <si>
    <r>
      <t xml:space="preserve">% F. Prog.
</t>
    </r>
    <r>
      <rPr>
        <b/>
        <i/>
        <sz val="10"/>
        <color theme="0"/>
        <rFont val="Calibri"/>
        <family val="2"/>
        <scheme val="minor"/>
      </rPr>
      <t>Percent. Aju.</t>
    </r>
  </si>
  <si>
    <r>
      <t xml:space="preserve">W. Weight
</t>
    </r>
    <r>
      <rPr>
        <b/>
        <i/>
        <sz val="10"/>
        <color theme="0"/>
        <rFont val="Calibri"/>
        <family val="2"/>
        <scheme val="minor"/>
      </rPr>
      <t>Peso Sold.</t>
    </r>
  </si>
  <si>
    <r>
      <t xml:space="preserve">% W. Prog.
</t>
    </r>
    <r>
      <rPr>
        <b/>
        <i/>
        <sz val="10"/>
        <color theme="0"/>
        <rFont val="Calibri"/>
        <family val="2"/>
        <scheme val="minor"/>
      </rPr>
      <t>Percent. Sold.</t>
    </r>
  </si>
  <si>
    <r>
      <t xml:space="preserve">NDT Weight
</t>
    </r>
    <r>
      <rPr>
        <b/>
        <i/>
        <sz val="10"/>
        <color theme="0"/>
        <rFont val="Calibri"/>
        <family val="2"/>
        <scheme val="minor"/>
      </rPr>
      <t>Peso Insp.</t>
    </r>
  </si>
  <si>
    <r>
      <t xml:space="preserve">% NDT Prog.
</t>
    </r>
    <r>
      <rPr>
        <b/>
        <i/>
        <sz val="10"/>
        <color theme="0"/>
        <rFont val="Calibri"/>
        <family val="2"/>
        <scheme val="minor"/>
      </rPr>
      <t>Percent. Insp.</t>
    </r>
  </si>
  <si>
    <r>
      <t xml:space="preserve">DRAWING
</t>
    </r>
    <r>
      <rPr>
        <b/>
        <i/>
        <sz val="10"/>
        <color theme="0"/>
        <rFont val="Calibri"/>
        <family val="2"/>
        <scheme val="minor"/>
      </rPr>
      <t>DESENHO</t>
    </r>
  </si>
  <si>
    <r>
      <rPr>
        <b/>
        <sz val="11"/>
        <color theme="1"/>
        <rFont val="Calibri"/>
        <family val="2"/>
        <scheme val="minor"/>
      </rPr>
      <t xml:space="preserve">Project Name
</t>
    </r>
    <r>
      <rPr>
        <b/>
        <i/>
        <sz val="10"/>
        <color theme="1"/>
        <rFont val="Calibri"/>
        <family val="2"/>
        <scheme val="minor"/>
      </rPr>
      <t>Nome do Projeto</t>
    </r>
  </si>
  <si>
    <r>
      <rPr>
        <b/>
        <sz val="11"/>
        <color theme="1"/>
        <rFont val="Calibri"/>
        <family val="2"/>
        <scheme val="minor"/>
      </rPr>
      <t xml:space="preserve">Client
</t>
    </r>
    <r>
      <rPr>
        <b/>
        <i/>
        <sz val="10"/>
        <color theme="1"/>
        <rFont val="Calibri"/>
        <family val="2"/>
        <scheme val="minor"/>
      </rPr>
      <t>Cliente</t>
    </r>
  </si>
  <si>
    <r>
      <rPr>
        <b/>
        <sz val="11"/>
        <color theme="1"/>
        <rFont val="Calibri"/>
        <family val="2"/>
        <scheme val="minor"/>
      </rPr>
      <t>Project ID / Package</t>
    </r>
    <r>
      <rPr>
        <b/>
        <i/>
        <sz val="11"/>
        <color theme="1"/>
        <rFont val="Calibri"/>
        <family val="2"/>
        <scheme val="minor"/>
      </rPr>
      <t xml:space="preserve">
</t>
    </r>
    <r>
      <rPr>
        <b/>
        <i/>
        <sz val="10"/>
        <color theme="1"/>
        <rFont val="Calibri"/>
        <family val="2"/>
        <scheme val="minor"/>
      </rPr>
      <t>Código do Projeto</t>
    </r>
  </si>
  <si>
    <r>
      <rPr>
        <b/>
        <sz val="11"/>
        <color theme="1"/>
        <rFont val="Calibri"/>
        <family val="2"/>
        <scheme val="minor"/>
      </rPr>
      <t xml:space="preserve">Order Contract
</t>
    </r>
    <r>
      <rPr>
        <b/>
        <i/>
        <sz val="10"/>
        <color theme="1"/>
        <rFont val="Calibri"/>
        <family val="2"/>
        <scheme val="minor"/>
      </rPr>
      <t>Ordenação do Contrato</t>
    </r>
  </si>
  <si>
    <r>
      <t xml:space="preserve">NDT (5%)
</t>
    </r>
    <r>
      <rPr>
        <b/>
        <i/>
        <sz val="10"/>
        <color theme="0"/>
        <rFont val="Calibri"/>
        <family val="2"/>
        <scheme val="minor"/>
      </rPr>
      <t>END</t>
    </r>
  </si>
  <si>
    <t>Weight
Peso Dim</t>
  </si>
  <si>
    <t>% Prog.
Percent. Dim</t>
  </si>
  <si>
    <t>STRUCTURE ERECTION PROGRESS SUMMARY</t>
  </si>
  <si>
    <r>
      <t xml:space="preserve">Part
</t>
    </r>
    <r>
      <rPr>
        <b/>
        <i/>
        <sz val="10"/>
        <color theme="0"/>
        <rFont val="Calibri"/>
        <family val="2"/>
        <scheme val="minor"/>
      </rPr>
      <t>Area</t>
    </r>
  </si>
  <si>
    <r>
      <t xml:space="preserve">WELDING (45%)
</t>
    </r>
    <r>
      <rPr>
        <b/>
        <i/>
        <sz val="10"/>
        <color theme="0"/>
        <rFont val="Calibri"/>
        <family val="2"/>
        <scheme val="minor"/>
      </rPr>
      <t>SOLDA</t>
    </r>
  </si>
  <si>
    <r>
      <t xml:space="preserve">FITUP (40%)
</t>
    </r>
    <r>
      <rPr>
        <b/>
        <i/>
        <sz val="10"/>
        <color theme="0"/>
        <rFont val="Calibri"/>
        <family val="2"/>
        <scheme val="minor"/>
      </rPr>
      <t>AJUSTE</t>
    </r>
  </si>
  <si>
    <r>
      <t xml:space="preserve">DIMENSIONAL (10%)
</t>
    </r>
    <r>
      <rPr>
        <b/>
        <i/>
        <sz val="10"/>
        <color theme="0"/>
        <rFont val="Calibri"/>
        <family val="2"/>
        <scheme val="minor"/>
      </rPr>
      <t>DIMENSIONAL</t>
    </r>
  </si>
  <si>
    <t>Total</t>
  </si>
  <si>
    <t>P71</t>
  </si>
  <si>
    <t>M02</t>
  </si>
  <si>
    <t>M02A</t>
  </si>
  <si>
    <t>EL.34100</t>
  </si>
  <si>
    <t>EL.37500</t>
  </si>
  <si>
    <t>M02B</t>
  </si>
  <si>
    <t>EL.37500/EL.47500</t>
  </si>
  <si>
    <t>EL.47500</t>
  </si>
  <si>
    <t>M02C</t>
  </si>
  <si>
    <t>EL.47500/EL.50700</t>
  </si>
  <si>
    <t>EL.50700</t>
  </si>
  <si>
    <t>M03</t>
  </si>
  <si>
    <t>M03A</t>
  </si>
  <si>
    <t>M03B</t>
  </si>
  <si>
    <t>EL.37500/EL.43500</t>
  </si>
  <si>
    <t>EL.43500</t>
  </si>
  <si>
    <t>M12</t>
  </si>
  <si>
    <t>M12A</t>
  </si>
  <si>
    <t>M12B</t>
  </si>
  <si>
    <t>M12C</t>
  </si>
  <si>
    <t>EL.48100</t>
  </si>
  <si>
    <t>M14</t>
  </si>
  <si>
    <t>M11</t>
  </si>
  <si>
    <t>M11B</t>
  </si>
  <si>
    <t>M11A</t>
  </si>
  <si>
    <t>M17</t>
  </si>
  <si>
    <t>M178</t>
  </si>
  <si>
    <t>M11D</t>
  </si>
  <si>
    <t>M00</t>
  </si>
  <si>
    <t>M177</t>
  </si>
  <si>
    <t>EL.40700</t>
  </si>
  <si>
    <t>M176</t>
  </si>
  <si>
    <t>M00-SKID31</t>
  </si>
  <si>
    <t>EL.31500</t>
  </si>
  <si>
    <t>M175</t>
  </si>
  <si>
    <t>EL.43000</t>
  </si>
  <si>
    <t>PU1</t>
  </si>
  <si>
    <t>EL.28800</t>
  </si>
  <si>
    <t>PU2</t>
  </si>
  <si>
    <t>EL.26850</t>
  </si>
  <si>
    <t>EL.27600</t>
  </si>
  <si>
    <t>EL.37492</t>
  </si>
  <si>
    <t>M174</t>
  </si>
  <si>
    <t>M173</t>
  </si>
  <si>
    <t>EL.44500</t>
  </si>
  <si>
    <t>PU3</t>
  </si>
  <si>
    <t>M172</t>
  </si>
  <si>
    <t>M171</t>
  </si>
  <si>
    <t>EL.51341</t>
  </si>
  <si>
    <t>PU4</t>
  </si>
  <si>
    <t>EL.33500</t>
  </si>
  <si>
    <t>M00-SKID31B</t>
  </si>
  <si>
    <t>M00-APT</t>
  </si>
  <si>
    <t>M00-CHEM</t>
  </si>
  <si>
    <t>M00-CHEMB</t>
  </si>
  <si>
    <t>PU5</t>
  </si>
  <si>
    <t>CP1</t>
  </si>
  <si>
    <t>EL.35800</t>
  </si>
  <si>
    <t>CP2</t>
  </si>
  <si>
    <t>PU6</t>
  </si>
  <si>
    <t>PU7</t>
  </si>
  <si>
    <t>M00-LDSA</t>
  </si>
  <si>
    <t>PU8</t>
  </si>
  <si>
    <t>M00-LDCA</t>
  </si>
  <si>
    <t>M00-LDPF</t>
  </si>
  <si>
    <t>PU9</t>
  </si>
  <si>
    <t>M12L</t>
  </si>
  <si>
    <t>M00-LDSF</t>
  </si>
  <si>
    <t>FT</t>
  </si>
  <si>
    <t>M02SD</t>
  </si>
  <si>
    <t>M02A/B</t>
  </si>
  <si>
    <t>M02B/C</t>
  </si>
  <si>
    <t>M03A/B</t>
  </si>
  <si>
    <t>M11A/B</t>
  </si>
  <si>
    <t>M12A/B</t>
  </si>
  <si>
    <t>EL.63800</t>
  </si>
  <si>
    <t>Module</t>
  </si>
  <si>
    <t>Block_DM</t>
  </si>
  <si>
    <t>Area</t>
  </si>
  <si>
    <t>Peso_Projeto</t>
  </si>
  <si>
    <t>PESO_VA</t>
  </si>
  <si>
    <t>%VA</t>
  </si>
  <si>
    <t>PESO_RS</t>
  </si>
  <si>
    <t>%RS</t>
  </si>
  <si>
    <t>PESO_END</t>
  </si>
  <si>
    <t>%END</t>
  </si>
  <si>
    <t>Peso Dim</t>
  </si>
  <si>
    <t>%Dimensional</t>
  </si>
  <si>
    <t/>
  </si>
  <si>
    <t>439.703,09</t>
  </si>
  <si>
    <t>3.487.757,69</t>
  </si>
  <si>
    <t>2.915.683,90</t>
  </si>
  <si>
    <t>2.715.052,67</t>
  </si>
  <si>
    <t>3.094.018,00</t>
  </si>
  <si>
    <t>3.479.442,23</t>
  </si>
  <si>
    <t>3.184.893,28</t>
  </si>
  <si>
    <t>3.017.429,99</t>
  </si>
  <si>
    <t>2.800.695,34</t>
  </si>
  <si>
    <t>3.483.170,70</t>
  </si>
  <si>
    <t>3.188.621,75</t>
  </si>
  <si>
    <t>3.021.158,46</t>
  </si>
  <si>
    <t>2.826.159,63</t>
  </si>
  <si>
    <t>M13</t>
  </si>
  <si>
    <t>3.488.434,16</t>
  </si>
  <si>
    <t>3.213.258,05</t>
  </si>
  <si>
    <t>3.027.369,46</t>
  </si>
  <si>
    <t>2.833.825,16</t>
  </si>
  <si>
    <t>3.215.433,81</t>
  </si>
  <si>
    <t>3.046.951,38</t>
  </si>
  <si>
    <t>2.851.231,31</t>
  </si>
  <si>
    <t>3.472.504,39</t>
  </si>
  <si>
    <t>3.223.471,10</t>
  </si>
  <si>
    <t>3.084.265,22</t>
  </si>
  <si>
    <t>2.857.558,11</t>
  </si>
  <si>
    <t>3.245.190,07</t>
  </si>
  <si>
    <t>3.115.381,94</t>
  </si>
  <si>
    <t>2.969.415,28</t>
  </si>
  <si>
    <t>3.469.131,15</t>
  </si>
  <si>
    <t>3.251.801,54</t>
  </si>
  <si>
    <t>3.143.963,35</t>
  </si>
  <si>
    <t>2.974.658,35</t>
  </si>
  <si>
    <t>3.465.498,50</t>
  </si>
  <si>
    <t>3.248.168,89</t>
  </si>
  <si>
    <t>3.140.330,70</t>
  </si>
  <si>
    <t>2.971.025,71</t>
  </si>
  <si>
    <t>439.620,53</t>
  </si>
  <si>
    <t>11-0009</t>
  </si>
  <si>
    <t>EJA/TUPI</t>
  </si>
  <si>
    <t>M02SD/A</t>
  </si>
  <si>
    <t>EL.34100/EL.37500</t>
  </si>
  <si>
    <t>M12B/C</t>
  </si>
  <si>
    <t>EL.43500/EL.48100</t>
  </si>
  <si>
    <t>M12L/A</t>
  </si>
  <si>
    <t>EL.37500/EL.43000</t>
  </si>
  <si>
    <t>EL.43000/EL.48100</t>
  </si>
  <si>
    <t>EL.48100/EL.51443</t>
  </si>
  <si>
    <t>EL.48100/EL.50792</t>
  </si>
  <si>
    <t>EL.43000/EL.44500</t>
  </si>
  <si>
    <t>EL.28800/EL.33500</t>
  </si>
  <si>
    <t>EL.33500/EL.37492</t>
  </si>
  <si>
    <t>%</t>
  </si>
  <si>
    <t>%P</t>
  </si>
  <si>
    <t>P</t>
  </si>
  <si>
    <t>P1</t>
  </si>
  <si>
    <t>TOTAL (POR EL)</t>
  </si>
  <si>
    <t>FINALIZADO</t>
  </si>
  <si>
    <t>% AVANÇADO (POR EL)</t>
  </si>
  <si>
    <t>PESO TOTAL</t>
  </si>
  <si>
    <t>% AVANÇADO TOTAL</t>
  </si>
  <si>
    <t>P4</t>
  </si>
  <si>
    <t>SUB_BLOCO</t>
  </si>
  <si>
    <t>BLOCO</t>
  </si>
  <si>
    <t>AREA</t>
  </si>
  <si>
    <t>PESO_AREA</t>
  </si>
  <si>
    <t>PERC_VA</t>
  </si>
  <si>
    <t>PERC_RS</t>
  </si>
  <si>
    <t>PESO_LIB</t>
  </si>
  <si>
    <t>PERC_LIB</t>
  </si>
  <si>
    <t>PESO_DI</t>
  </si>
  <si>
    <t>PERC_DI</t>
  </si>
  <si>
    <t>100,00%</t>
  </si>
  <si>
    <t>0,00%</t>
  </si>
  <si>
    <t>50,00%</t>
  </si>
  <si>
    <t>30,00%</t>
  </si>
  <si>
    <t>20,00%</t>
  </si>
  <si>
    <t>97,78%</t>
  </si>
  <si>
    <t>69,23%</t>
  </si>
  <si>
    <t>61,54%</t>
  </si>
  <si>
    <t>90,48%</t>
  </si>
  <si>
    <t>52,38%</t>
  </si>
  <si>
    <t>42,86%</t>
  </si>
  <si>
    <t>40,00%</t>
  </si>
  <si>
    <t>87,50%</t>
  </si>
  <si>
    <t>90,91%</t>
  </si>
  <si>
    <t>81,82%</t>
  </si>
  <si>
    <t>6,25%</t>
  </si>
  <si>
    <t>37,50%</t>
  </si>
  <si>
    <t>12,50%</t>
  </si>
  <si>
    <t>8,33%</t>
  </si>
  <si>
    <t>16,67%</t>
  </si>
  <si>
    <t>36,11%</t>
  </si>
  <si>
    <t>33,33%</t>
  </si>
  <si>
    <t>25,00%</t>
  </si>
  <si>
    <t>3.464.764,92</t>
  </si>
  <si>
    <t>2.875.182,28</t>
  </si>
  <si>
    <t>2.722.835,44</t>
  </si>
  <si>
    <t>2.689.525,18</t>
  </si>
  <si>
    <t>2.184.430,17</t>
  </si>
  <si>
    <t>3.060.938,12</t>
  </si>
  <si>
    <t>2.993.467,84</t>
  </si>
  <si>
    <t>2.960.157,58</t>
  </si>
  <si>
    <t>2.519.904,82</t>
  </si>
  <si>
    <t>PROJETO</t>
  </si>
  <si>
    <t>3.464.652,51</t>
  </si>
  <si>
    <t>3.058.237,74</t>
  </si>
  <si>
    <t>2.999.727,04</t>
  </si>
  <si>
    <t>2.951.093,01</t>
  </si>
  <si>
    <t>PESO_DIM</t>
  </si>
  <si>
    <t>%DIM</t>
  </si>
  <si>
    <t>2.870.708,90</t>
  </si>
  <si>
    <t>58,33%</t>
  </si>
  <si>
    <t>41,67%</t>
  </si>
  <si>
    <t>3.078.378,92</t>
  </si>
  <si>
    <t>3.014.792,96</t>
  </si>
  <si>
    <t>2.959.147,84</t>
  </si>
  <si>
    <t>MODULO</t>
  </si>
  <si>
    <t>59,52%</t>
  </si>
  <si>
    <t>47,62%</t>
  </si>
  <si>
    <t>10,00%</t>
  </si>
  <si>
    <t>3.464.647,51</t>
  </si>
  <si>
    <t>3.078.373,92</t>
  </si>
  <si>
    <t>3.022.732,02</t>
  </si>
  <si>
    <t>2.963.114,87</t>
  </si>
  <si>
    <t>2.870.703,90</t>
  </si>
  <si>
    <t>54,76%</t>
  </si>
  <si>
    <t>3.441.839,34</t>
  </si>
  <si>
    <t>3.058.508,74</t>
  </si>
  <si>
    <t>3.002.866,84</t>
  </si>
  <si>
    <t>2.950.679,22</t>
  </si>
  <si>
    <t>2.858.196,20</t>
  </si>
  <si>
    <t>97,53%</t>
  </si>
  <si>
    <t>3.056.099,79</t>
  </si>
  <si>
    <t>3.000.457,88</t>
  </si>
  <si>
    <t>2.948.270,27</t>
  </si>
  <si>
    <t>2.760.633,60</t>
  </si>
  <si>
    <t>11,11%</t>
  </si>
  <si>
    <t>66,67%</t>
  </si>
  <si>
    <t>23,08%</t>
  </si>
  <si>
    <t>7,69%</t>
  </si>
  <si>
    <t>TJVA</t>
  </si>
  <si>
    <t>TJ</t>
  </si>
  <si>
    <t>TJRS</t>
  </si>
  <si>
    <t>TJLIB</t>
  </si>
  <si>
    <t>EL.89300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</si>
</sst>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(* #,##0.00_);_(* \(#,##0.00\);_(* &quot;-&quot;??_);_(@_)"/>
    <numFmt numFmtId="165" formatCode="0.000"/>
  </numFmts>
  <fonts count="17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4">
    <xf numFmtId="0" fontId="0" fillId="0" borderId="0"/>
    <xf numFmtId="9" fontId="2" fillId="0" borderId="0" applyFont="0" applyFill="0" applyBorder="0" applyAlignment="0" applyProtection="0"/>
    <xf numFmtId="0" fontId="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</cellStyleXfs>
  <cellXfs count="176">
    <xf numFmtId="0" fontId="0" fillId="0" borderId="0" xfId="0"/>
    <xf numFmtId="0" fontId="0" fillId="0" borderId="0" xfId="0" applyNumberFormat="1"/>
    <xf numFmtId="0" fontId="0" fillId="0" borderId="12" xfId="0" applyNumberFormat="1" applyBorder="1"/>
    <xf numFmtId="0" fontId="0" fillId="0" borderId="0" xfId="0" applyNumberFormat="1" applyAlignment="1"/>
    <xf numFmtId="0" fontId="3" fillId="2" borderId="11" xfId="0" applyNumberFormat="1" applyFont="1" applyFill="1" applyBorder="1" applyAlignment="1">
      <alignment horizontal="center" vertical="center" wrapText="1"/>
    </xf>
    <xf numFmtId="0" fontId="3" fillId="2" borderId="17" xfId="0" applyNumberFormat="1" applyFont="1" applyFill="1" applyBorder="1" applyAlignment="1">
      <alignment horizontal="center" vertical="center" wrapText="1"/>
    </xf>
    <xf numFmtId="0" fontId="3" fillId="2" borderId="18" xfId="0" applyNumberFormat="1" applyFont="1" applyFill="1" applyBorder="1" applyAlignment="1">
      <alignment horizontal="center" vertical="center" wrapText="1"/>
    </xf>
    <xf numFmtId="0" fontId="5" fillId="0" borderId="11" xfId="0" applyNumberFormat="1" applyFont="1" applyBorder="1" applyAlignment="1">
      <alignment vertical="center" wrapText="1"/>
    </xf>
    <xf numFmtId="0" fontId="0" fillId="0" borderId="12" xfId="0" applyNumberFormat="1" applyBorder="1" applyAlignment="1">
      <alignment vertical="center"/>
    </xf>
    <xf numFmtId="0" fontId="0" fillId="0" borderId="14" xfId="0" applyNumberFormat="1" applyBorder="1" applyAlignment="1">
      <alignment vertical="center"/>
    </xf>
    <xf numFmtId="0" fontId="5" fillId="0" borderId="12" xfId="0" applyNumberFormat="1" applyFont="1" applyBorder="1" applyAlignment="1">
      <alignment vertical="center" wrapText="1"/>
    </xf>
    <xf numFmtId="0" fontId="0" fillId="0" borderId="11" xfId="0" applyNumberFormat="1" applyBorder="1" applyAlignment="1">
      <alignment vertical="center"/>
    </xf>
    <xf numFmtId="14" fontId="4" fillId="0" borderId="12" xfId="0" applyNumberFormat="1" applyFont="1" applyBorder="1" applyAlignment="1">
      <alignment horizontal="right"/>
    </xf>
    <xf numFmtId="0" fontId="0" fillId="0" borderId="13" xfId="0" applyNumberFormat="1" applyBorder="1"/>
    <xf numFmtId="14" fontId="0" fillId="0" borderId="12" xfId="0" applyNumberFormat="1" applyBorder="1"/>
    <xf numFmtId="4" fontId="0" fillId="0" borderId="0" xfId="0" applyNumberFormat="1"/>
    <xf numFmtId="0" fontId="0" fillId="0" borderId="0" xfId="0" applyNumberFormat="1" applyFill="1"/>
    <xf numFmtId="4" fontId="0" fillId="0" borderId="0" xfId="0" applyNumberFormat="1" applyFill="1"/>
    <xf numFmtId="10" fontId="0" fillId="0" borderId="0" xfId="1" applyNumberFormat="1" applyFont="1" applyFill="1"/>
    <xf numFmtId="4" fontId="8" fillId="0" borderId="0" xfId="0" applyNumberFormat="1" applyFont="1" applyFill="1"/>
    <xf numFmtId="0" fontId="5" fillId="0" borderId="15" xfId="0" applyNumberFormat="1" applyFont="1" applyBorder="1" applyAlignment="1">
      <alignment horizontal="right" vertical="center" wrapText="1"/>
    </xf>
    <xf numFmtId="0" fontId="3" fillId="2" borderId="12" xfId="0" applyNumberFormat="1" applyFont="1" applyFill="1" applyBorder="1" applyAlignment="1">
      <alignment horizontal="center" vertical="center" wrapText="1"/>
    </xf>
    <xf numFmtId="0" fontId="10" fillId="3" borderId="19" xfId="2" applyFont="1" applyFill="1" applyBorder="1" applyAlignment="1">
      <alignment horizontal="center"/>
    </xf>
    <xf numFmtId="0" fontId="10" fillId="0" borderId="20" xfId="2" applyFont="1" applyFill="1" applyBorder="1" applyAlignment="1">
      <alignment wrapText="1"/>
    </xf>
    <xf numFmtId="4" fontId="10" fillId="0" borderId="20" xfId="2" applyNumberFormat="1" applyFont="1" applyFill="1" applyBorder="1" applyAlignment="1">
      <alignment horizontal="right" wrapText="1"/>
    </xf>
    <xf numFmtId="10" fontId="10" fillId="0" borderId="20" xfId="2" applyNumberFormat="1" applyFont="1" applyFill="1" applyBorder="1" applyAlignment="1">
      <alignment horizontal="right" wrapText="1"/>
    </xf>
    <xf numFmtId="0" fontId="9" fillId="0" borderId="0" xfId="2"/>
    <xf numFmtId="0" fontId="3" fillId="2" borderId="22" xfId="0" applyFont="1" applyFill="1" applyBorder="1" applyAlignment="1">
      <alignment horizontal="center" vertical="center" wrapText="1"/>
    </xf>
    <xf numFmtId="0" fontId="3" fillId="2" borderId="23" xfId="0" applyFont="1" applyFill="1" applyBorder="1" applyAlignment="1">
      <alignment horizontal="center" vertical="center" wrapText="1"/>
    </xf>
    <xf numFmtId="0" fontId="0" fillId="4" borderId="21" xfId="0" applyFill="1" applyBorder="1"/>
    <xf numFmtId="4" fontId="0" fillId="0" borderId="21" xfId="0" applyNumberFormat="1" applyBorder="1"/>
    <xf numFmtId="0" fontId="0" fillId="4" borderId="24" xfId="0" applyFill="1" applyBorder="1"/>
    <xf numFmtId="4" fontId="0" fillId="0" borderId="24" xfId="0" applyNumberFormat="1" applyBorder="1"/>
    <xf numFmtId="0" fontId="11" fillId="3" borderId="19" xfId="3" applyFont="1" applyFill="1" applyBorder="1" applyAlignment="1">
      <alignment horizontal="center"/>
    </xf>
    <xf numFmtId="0" fontId="11" fillId="0" borderId="20" xfId="3" applyFont="1" applyFill="1" applyBorder="1" applyAlignment="1">
      <alignment wrapText="1"/>
    </xf>
    <xf numFmtId="4" fontId="11" fillId="0" borderId="20" xfId="3" applyNumberFormat="1" applyFont="1" applyFill="1" applyBorder="1" applyAlignment="1">
      <alignment horizontal="right" wrapText="1"/>
    </xf>
    <xf numFmtId="10" fontId="11" fillId="0" borderId="20" xfId="3" applyNumberFormat="1" applyFont="1" applyFill="1" applyBorder="1" applyAlignment="1">
      <alignment horizontal="right" wrapText="1"/>
    </xf>
    <xf numFmtId="0" fontId="12" fillId="0" borderId="0" xfId="3"/>
    <xf numFmtId="0" fontId="11" fillId="3" borderId="19" xfId="4" applyFont="1" applyFill="1" applyBorder="1" applyAlignment="1">
      <alignment horizontal="center"/>
    </xf>
    <xf numFmtId="0" fontId="11" fillId="0" borderId="20" xfId="4" applyFont="1" applyFill="1" applyBorder="1" applyAlignment="1">
      <alignment wrapText="1"/>
    </xf>
    <xf numFmtId="4" fontId="11" fillId="0" borderId="20" xfId="4" applyNumberFormat="1" applyFont="1" applyFill="1" applyBorder="1" applyAlignment="1">
      <alignment horizontal="right" wrapText="1"/>
    </xf>
    <xf numFmtId="10" fontId="11" fillId="0" borderId="20" xfId="4" applyNumberFormat="1" applyFont="1" applyFill="1" applyBorder="1" applyAlignment="1">
      <alignment horizontal="right" wrapText="1"/>
    </xf>
    <xf numFmtId="0" fontId="12" fillId="0" borderId="0" xfId="4"/>
    <xf numFmtId="0" fontId="11" fillId="3" borderId="19" xfId="5" applyFont="1" applyFill="1" applyBorder="1" applyAlignment="1">
      <alignment horizontal="center"/>
    </xf>
    <xf numFmtId="0" fontId="11" fillId="0" borderId="20" xfId="5" applyFont="1" applyFill="1" applyBorder="1" applyAlignment="1">
      <alignment wrapText="1"/>
    </xf>
    <xf numFmtId="4" fontId="11" fillId="0" borderId="20" xfId="5" applyNumberFormat="1" applyFont="1" applyFill="1" applyBorder="1" applyAlignment="1">
      <alignment horizontal="right" wrapText="1"/>
    </xf>
    <xf numFmtId="10" fontId="11" fillId="0" borderId="20" xfId="5" applyNumberFormat="1" applyFont="1" applyFill="1" applyBorder="1" applyAlignment="1">
      <alignment horizontal="right" wrapText="1"/>
    </xf>
    <xf numFmtId="0" fontId="12" fillId="0" borderId="0" xfId="5"/>
    <xf numFmtId="0" fontId="11" fillId="3" borderId="19" xfId="6" applyFont="1" applyFill="1" applyBorder="1" applyAlignment="1">
      <alignment horizontal="center"/>
    </xf>
    <xf numFmtId="0" fontId="11" fillId="0" borderId="20" xfId="6" applyFont="1" applyFill="1" applyBorder="1" applyAlignment="1">
      <alignment wrapText="1"/>
    </xf>
    <xf numFmtId="4" fontId="11" fillId="0" borderId="20" xfId="6" applyNumberFormat="1" applyFont="1" applyFill="1" applyBorder="1" applyAlignment="1">
      <alignment horizontal="right" wrapText="1"/>
    </xf>
    <xf numFmtId="10" fontId="11" fillId="0" borderId="20" xfId="6" applyNumberFormat="1" applyFont="1" applyFill="1" applyBorder="1" applyAlignment="1">
      <alignment horizontal="right" wrapText="1"/>
    </xf>
    <xf numFmtId="0" fontId="12" fillId="0" borderId="0" xfId="6"/>
    <xf numFmtId="0" fontId="11" fillId="3" borderId="19" xfId="7" applyFont="1" applyFill="1" applyBorder="1" applyAlignment="1">
      <alignment horizontal="center"/>
    </xf>
    <xf numFmtId="0" fontId="11" fillId="0" borderId="20" xfId="7" applyFont="1" applyFill="1" applyBorder="1" applyAlignment="1">
      <alignment wrapText="1"/>
    </xf>
    <xf numFmtId="4" fontId="11" fillId="0" borderId="20" xfId="7" applyNumberFormat="1" applyFont="1" applyFill="1" applyBorder="1" applyAlignment="1">
      <alignment horizontal="right" wrapText="1"/>
    </xf>
    <xf numFmtId="10" fontId="11" fillId="0" borderId="20" xfId="7" applyNumberFormat="1" applyFont="1" applyFill="1" applyBorder="1" applyAlignment="1">
      <alignment horizontal="right" wrapText="1"/>
    </xf>
    <xf numFmtId="0" fontId="12" fillId="0" borderId="0" xfId="7"/>
    <xf numFmtId="0" fontId="11" fillId="3" borderId="19" xfId="8" applyFont="1" applyFill="1" applyBorder="1" applyAlignment="1">
      <alignment horizontal="center"/>
    </xf>
    <xf numFmtId="0" fontId="11" fillId="0" borderId="20" xfId="8" applyFont="1" applyFill="1" applyBorder="1" applyAlignment="1">
      <alignment wrapText="1"/>
    </xf>
    <xf numFmtId="4" fontId="11" fillId="0" borderId="20" xfId="8" applyNumberFormat="1" applyFont="1" applyFill="1" applyBorder="1" applyAlignment="1">
      <alignment horizontal="right" wrapText="1"/>
    </xf>
    <xf numFmtId="10" fontId="11" fillId="0" borderId="20" xfId="8" applyNumberFormat="1" applyFont="1" applyFill="1" applyBorder="1" applyAlignment="1">
      <alignment horizontal="right" wrapText="1"/>
    </xf>
    <xf numFmtId="0" fontId="12" fillId="0" borderId="0" xfId="8"/>
    <xf numFmtId="0" fontId="11" fillId="3" borderId="19" xfId="9" applyFont="1" applyFill="1" applyBorder="1" applyAlignment="1">
      <alignment horizontal="center"/>
    </xf>
    <xf numFmtId="0" fontId="11" fillId="0" borderId="20" xfId="9" applyFont="1" applyFill="1" applyBorder="1" applyAlignment="1">
      <alignment wrapText="1"/>
    </xf>
    <xf numFmtId="4" fontId="11" fillId="0" borderId="20" xfId="9" applyNumberFormat="1" applyFont="1" applyFill="1" applyBorder="1" applyAlignment="1">
      <alignment horizontal="right" wrapText="1"/>
    </xf>
    <xf numFmtId="10" fontId="11" fillId="0" borderId="20" xfId="9" applyNumberFormat="1" applyFont="1" applyFill="1" applyBorder="1" applyAlignment="1">
      <alignment horizontal="right" wrapText="1"/>
    </xf>
    <xf numFmtId="0" fontId="12" fillId="0" borderId="0" xfId="9"/>
    <xf numFmtId="0" fontId="11" fillId="3" borderId="19" xfId="10" applyFont="1" applyFill="1" applyBorder="1" applyAlignment="1">
      <alignment horizontal="center"/>
    </xf>
    <xf numFmtId="0" fontId="11" fillId="0" borderId="20" xfId="10" applyFont="1" applyFill="1" applyBorder="1" applyAlignment="1">
      <alignment wrapText="1"/>
    </xf>
    <xf numFmtId="4" fontId="11" fillId="0" borderId="20" xfId="10" applyNumberFormat="1" applyFont="1" applyFill="1" applyBorder="1" applyAlignment="1">
      <alignment horizontal="right" wrapText="1"/>
    </xf>
    <xf numFmtId="10" fontId="11" fillId="0" borderId="20" xfId="10" applyNumberFormat="1" applyFont="1" applyFill="1" applyBorder="1" applyAlignment="1">
      <alignment horizontal="right" wrapText="1"/>
    </xf>
    <xf numFmtId="0" fontId="12" fillId="0" borderId="0" xfId="10"/>
    <xf numFmtId="0" fontId="11" fillId="3" borderId="19" xfId="11" applyFont="1" applyFill="1" applyBorder="1" applyAlignment="1">
      <alignment horizontal="center"/>
    </xf>
    <xf numFmtId="0" fontId="11" fillId="0" borderId="20" xfId="11" applyFont="1" applyFill="1" applyBorder="1" applyAlignment="1">
      <alignment wrapText="1"/>
    </xf>
    <xf numFmtId="4" fontId="11" fillId="0" borderId="20" xfId="11" applyNumberFormat="1" applyFont="1" applyFill="1" applyBorder="1" applyAlignment="1">
      <alignment horizontal="right" wrapText="1"/>
    </xf>
    <xf numFmtId="10" fontId="11" fillId="0" borderId="20" xfId="11" applyNumberFormat="1" applyFont="1" applyFill="1" applyBorder="1" applyAlignment="1">
      <alignment horizontal="right" wrapText="1"/>
    </xf>
    <xf numFmtId="0" fontId="12" fillId="0" borderId="0" xfId="11"/>
    <xf numFmtId="0" fontId="11" fillId="3" borderId="19" xfId="12" applyFont="1" applyFill="1" applyBorder="1" applyAlignment="1">
      <alignment horizontal="center"/>
    </xf>
    <xf numFmtId="0" fontId="11" fillId="0" borderId="20" xfId="12" applyFont="1" applyFill="1" applyBorder="1" applyAlignment="1">
      <alignment wrapText="1"/>
    </xf>
    <xf numFmtId="4" fontId="11" fillId="0" borderId="20" xfId="12" applyNumberFormat="1" applyFont="1" applyFill="1" applyBorder="1" applyAlignment="1">
      <alignment horizontal="right" wrapText="1"/>
    </xf>
    <xf numFmtId="10" fontId="11" fillId="0" borderId="20" xfId="12" applyNumberFormat="1" applyFont="1" applyFill="1" applyBorder="1" applyAlignment="1">
      <alignment horizontal="right" wrapText="1"/>
    </xf>
    <xf numFmtId="0" fontId="12" fillId="0" borderId="0" xfId="12"/>
    <xf numFmtId="0" fontId="0" fillId="0" borderId="12" xfId="0" applyNumberFormat="1" applyFont="1" applyBorder="1" applyAlignment="1">
      <alignment vertical="center" wrapText="1"/>
    </xf>
    <xf numFmtId="4" fontId="0" fillId="4" borderId="21" xfId="0" applyNumberFormat="1" applyFont="1" applyFill="1" applyBorder="1"/>
    <xf numFmtId="0" fontId="0" fillId="5" borderId="0" xfId="0" applyFill="1"/>
    <xf numFmtId="0" fontId="0" fillId="0" borderId="0" xfId="0" applyFill="1"/>
    <xf numFmtId="0" fontId="0" fillId="6" borderId="0" xfId="0" applyFill="1"/>
    <xf numFmtId="165" fontId="0" fillId="5" borderId="0" xfId="0" applyNumberFormat="1" applyFill="1"/>
    <xf numFmtId="165" fontId="0" fillId="0" borderId="0" xfId="0" applyNumberFormat="1"/>
    <xf numFmtId="2" fontId="0" fillId="5" borderId="0" xfId="0" applyNumberFormat="1" applyFill="1"/>
    <xf numFmtId="2" fontId="0" fillId="0" borderId="0" xfId="0" applyNumberFormat="1"/>
    <xf numFmtId="10" fontId="0" fillId="6" borderId="0" xfId="1" applyNumberFormat="1" applyFont="1" applyFill="1"/>
    <xf numFmtId="10" fontId="0" fillId="5" borderId="0" xfId="1" applyNumberFormat="1" applyFont="1" applyFill="1"/>
    <xf numFmtId="10" fontId="0" fillId="0" borderId="0" xfId="1" applyNumberFormat="1" applyFont="1"/>
    <xf numFmtId="0" fontId="14" fillId="3" borderId="19" xfId="13" applyFont="1" applyFill="1" applyBorder="1" applyAlignment="1">
      <alignment horizontal="center"/>
    </xf>
    <xf numFmtId="0" fontId="14" fillId="0" borderId="20" xfId="13" applyFont="1" applyFill="1" applyBorder="1" applyAlignment="1">
      <alignment wrapText="1"/>
    </xf>
    <xf numFmtId="4" fontId="14" fillId="0" borderId="20" xfId="13" applyNumberFormat="1" applyFont="1" applyFill="1" applyBorder="1" applyAlignment="1">
      <alignment horizontal="right" wrapText="1"/>
    </xf>
    <xf numFmtId="10" fontId="14" fillId="0" borderId="20" xfId="13" applyNumberFormat="1" applyFont="1" applyFill="1" applyBorder="1" applyAlignment="1">
      <alignment horizontal="right" wrapText="1"/>
    </xf>
    <xf numFmtId="0" fontId="14" fillId="3" borderId="19" xfId="14" applyFont="1" applyFill="1" applyBorder="1" applyAlignment="1">
      <alignment horizontal="center"/>
    </xf>
    <xf numFmtId="0" fontId="14" fillId="0" borderId="20" xfId="14" applyFont="1" applyFill="1" applyBorder="1" applyAlignment="1">
      <alignment wrapText="1"/>
    </xf>
    <xf numFmtId="4" fontId="14" fillId="0" borderId="20" xfId="14" applyNumberFormat="1" applyFont="1" applyFill="1" applyBorder="1" applyAlignment="1">
      <alignment horizontal="right" wrapText="1"/>
    </xf>
    <xf numFmtId="10" fontId="14" fillId="0" borderId="20" xfId="14" applyNumberFormat="1" applyFont="1" applyFill="1" applyBorder="1" applyAlignment="1">
      <alignment horizontal="right" wrapText="1"/>
    </xf>
    <xf numFmtId="0" fontId="14" fillId="3" borderId="19" xfId="15" applyFont="1" applyFill="1" applyBorder="1" applyAlignment="1">
      <alignment horizontal="center"/>
    </xf>
    <xf numFmtId="0" fontId="14" fillId="0" borderId="20" xfId="15" applyFont="1" applyFill="1" applyBorder="1" applyAlignment="1">
      <alignment wrapText="1"/>
    </xf>
    <xf numFmtId="4" fontId="14" fillId="0" borderId="20" xfId="15" applyNumberFormat="1" applyFont="1" applyFill="1" applyBorder="1" applyAlignment="1">
      <alignment horizontal="right" wrapText="1"/>
    </xf>
    <xf numFmtId="10" fontId="14" fillId="0" borderId="20" xfId="15" applyNumberFormat="1" applyFont="1" applyFill="1" applyBorder="1" applyAlignment="1">
      <alignment horizontal="right" wrapText="1"/>
    </xf>
    <xf numFmtId="0" fontId="14" fillId="3" borderId="19" xfId="16" applyFont="1" applyFill="1" applyBorder="1" applyAlignment="1">
      <alignment horizontal="center"/>
    </xf>
    <xf numFmtId="0" fontId="14" fillId="0" borderId="20" xfId="16" applyFont="1" applyFill="1" applyBorder="1" applyAlignment="1">
      <alignment wrapText="1"/>
    </xf>
    <xf numFmtId="4" fontId="14" fillId="0" borderId="20" xfId="16" applyNumberFormat="1" applyFont="1" applyFill="1" applyBorder="1" applyAlignment="1">
      <alignment horizontal="right" wrapText="1"/>
    </xf>
    <xf numFmtId="10" fontId="14" fillId="0" borderId="20" xfId="16" applyNumberFormat="1" applyFont="1" applyFill="1" applyBorder="1" applyAlignment="1">
      <alignment horizontal="right" wrapText="1"/>
    </xf>
    <xf numFmtId="0" fontId="14" fillId="3" borderId="19" xfId="17" applyFont="1" applyFill="1" applyBorder="1" applyAlignment="1">
      <alignment horizontal="center"/>
    </xf>
    <xf numFmtId="0" fontId="14" fillId="0" borderId="20" xfId="17" applyFont="1" applyFill="1" applyBorder="1" applyAlignment="1">
      <alignment wrapText="1"/>
    </xf>
    <xf numFmtId="4" fontId="14" fillId="0" borderId="20" xfId="17" applyNumberFormat="1" applyFont="1" applyFill="1" applyBorder="1" applyAlignment="1">
      <alignment horizontal="right" wrapText="1"/>
    </xf>
    <xf numFmtId="10" fontId="14" fillId="0" borderId="20" xfId="17" applyNumberFormat="1" applyFont="1" applyFill="1" applyBorder="1" applyAlignment="1">
      <alignment horizontal="right" wrapText="1"/>
    </xf>
    <xf numFmtId="0" fontId="14" fillId="3" borderId="19" xfId="18" applyFont="1" applyFill="1" applyBorder="1" applyAlignment="1">
      <alignment horizontal="center"/>
    </xf>
    <xf numFmtId="0" fontId="14" fillId="0" borderId="20" xfId="18" applyFont="1" applyFill="1" applyBorder="1" applyAlignment="1">
      <alignment wrapText="1"/>
    </xf>
    <xf numFmtId="4" fontId="14" fillId="0" borderId="20" xfId="18" applyNumberFormat="1" applyFont="1" applyFill="1" applyBorder="1" applyAlignment="1">
      <alignment horizontal="right" wrapText="1"/>
    </xf>
    <xf numFmtId="10" fontId="14" fillId="0" borderId="20" xfId="18" applyNumberFormat="1" applyFont="1" applyFill="1" applyBorder="1" applyAlignment="1">
      <alignment horizontal="right" wrapText="1"/>
    </xf>
    <xf numFmtId="0" fontId="14" fillId="3" borderId="19" xfId="19" applyFont="1" applyFill="1" applyBorder="1" applyAlignment="1">
      <alignment horizontal="center"/>
    </xf>
    <xf numFmtId="0" fontId="14" fillId="0" borderId="20" xfId="19" applyFont="1" applyFill="1" applyBorder="1" applyAlignment="1">
      <alignment wrapText="1"/>
    </xf>
    <xf numFmtId="4" fontId="14" fillId="0" borderId="20" xfId="19" applyNumberFormat="1" applyFont="1" applyFill="1" applyBorder="1" applyAlignment="1">
      <alignment horizontal="right" wrapText="1"/>
    </xf>
    <xf numFmtId="10" fontId="14" fillId="0" borderId="20" xfId="19" applyNumberFormat="1" applyFont="1" applyFill="1" applyBorder="1" applyAlignment="1">
      <alignment horizontal="right" wrapText="1"/>
    </xf>
    <xf numFmtId="0" fontId="14" fillId="3" borderId="19" xfId="20" applyFont="1" applyFill="1" applyBorder="1" applyAlignment="1">
      <alignment horizontal="center"/>
    </xf>
    <xf numFmtId="0" fontId="14" fillId="0" borderId="20" xfId="20" applyFont="1" applyFill="1" applyBorder="1" applyAlignment="1">
      <alignment wrapText="1"/>
    </xf>
    <xf numFmtId="4" fontId="14" fillId="0" borderId="20" xfId="20" applyNumberFormat="1" applyFont="1" applyFill="1" applyBorder="1" applyAlignment="1">
      <alignment horizontal="right" wrapText="1"/>
    </xf>
    <xf numFmtId="10" fontId="14" fillId="0" borderId="20" xfId="20" applyNumberFormat="1" applyFont="1" applyFill="1" applyBorder="1" applyAlignment="1">
      <alignment horizontal="right" wrapText="1"/>
    </xf>
    <xf numFmtId="0" fontId="14" fillId="3" borderId="19" xfId="21" applyFont="1" applyFill="1" applyBorder="1" applyAlignment="1">
      <alignment horizontal="center"/>
    </xf>
    <xf numFmtId="0" fontId="14" fillId="0" borderId="20" xfId="21" applyFont="1" applyFill="1" applyBorder="1" applyAlignment="1">
      <alignment wrapText="1"/>
    </xf>
    <xf numFmtId="4" fontId="14" fillId="0" borderId="20" xfId="21" applyNumberFormat="1" applyFont="1" applyFill="1" applyBorder="1" applyAlignment="1">
      <alignment horizontal="right" wrapText="1"/>
    </xf>
    <xf numFmtId="10" fontId="14" fillId="0" borderId="20" xfId="21" applyNumberFormat="1" applyFont="1" applyFill="1" applyBorder="1" applyAlignment="1">
      <alignment horizontal="right" wrapText="1"/>
    </xf>
    <xf numFmtId="0" fontId="14" fillId="3" borderId="19" xfId="22" applyFont="1" applyFill="1" applyBorder="1" applyAlignment="1">
      <alignment horizontal="center"/>
    </xf>
    <xf numFmtId="0" fontId="14" fillId="0" borderId="20" xfId="22" applyFont="1" applyFill="1" applyBorder="1" applyAlignment="1">
      <alignment wrapText="1"/>
    </xf>
    <xf numFmtId="4" fontId="14" fillId="0" borderId="20" xfId="22" applyNumberFormat="1" applyFont="1" applyFill="1" applyBorder="1" applyAlignment="1">
      <alignment horizontal="right" wrapText="1"/>
    </xf>
    <xf numFmtId="10" fontId="14" fillId="0" borderId="20" xfId="22" applyNumberFormat="1" applyFont="1" applyFill="1" applyBorder="1" applyAlignment="1">
      <alignment horizontal="right" wrapText="1"/>
    </xf>
    <xf numFmtId="0" fontId="14" fillId="3" borderId="19" xfId="23" applyFont="1" applyFill="1" applyBorder="1" applyAlignment="1">
      <alignment horizontal="center"/>
    </xf>
    <xf numFmtId="0" fontId="14" fillId="0" borderId="20" xfId="23" applyFont="1" applyFill="1" applyBorder="1" applyAlignment="1">
      <alignment wrapText="1"/>
    </xf>
    <xf numFmtId="4" fontId="14" fillId="0" borderId="20" xfId="23" applyNumberFormat="1" applyFont="1" applyFill="1" applyBorder="1" applyAlignment="1">
      <alignment horizontal="right" wrapText="1"/>
    </xf>
    <xf numFmtId="10" fontId="14" fillId="0" borderId="20" xfId="23" applyNumberFormat="1" applyFont="1" applyFill="1" applyBorder="1" applyAlignment="1">
      <alignment horizontal="right" wrapText="1"/>
    </xf>
    <xf numFmtId="0" fontId="3" fillId="2" borderId="16" xfId="0" applyNumberFormat="1" applyFont="1" applyFill="1" applyBorder="1"/>
    <xf numFmtId="164" fontId="3" fillId="2" borderId="16" xfId="0" applyNumberFormat="1" applyFont="1" applyFill="1" applyBorder="1" applyAlignment="1">
      <alignment horizontal="center"/>
    </xf>
    <xf numFmtId="4" fontId="3" fillId="2" borderId="16" xfId="0" applyNumberFormat="1" applyFont="1" applyFill="1" applyBorder="1"/>
    <xf numFmtId="0" fontId="3" fillId="2" borderId="16" xfId="0" applyFont="1" applyFill="1" applyBorder="1"/>
    <xf numFmtId="0" fontId="3" fillId="2" borderId="12" xfId="0" applyNumberFormat="1" applyFont="1" applyFill="1" applyBorder="1" applyAlignment="1">
      <alignment horizontal="center" vertical="center" wrapText="1"/>
    </xf>
    <xf numFmtId="4" fontId="16" fillId="0" borderId="0" xfId="0" applyNumberFormat="1" applyFont="1"/>
    <xf numFmtId="4" fontId="0" fillId="0" borderId="0" xfId="0" applyNumberFormat="1" applyBorder="1"/>
    <xf numFmtId="10" fontId="0" fillId="0" borderId="0" xfId="0" applyNumberFormat="1" applyFill="1"/>
    <xf numFmtId="4" fontId="0" fillId="0" borderId="0" xfId="0" applyNumberFormat="1" applyAlignment="1">
      <alignment horizontal="right"/>
    </xf>
    <xf numFmtId="10" fontId="0" fillId="0" borderId="0" xfId="1" applyNumberFormat="1" applyFont="1" applyFill="1" applyAlignment="1">
      <alignment horizontal="right"/>
    </xf>
    <xf numFmtId="9" fontId="0" fillId="0" borderId="0" xfId="1" applyFont="1"/>
    <xf numFmtId="164" fontId="0" fillId="0" borderId="0" xfId="0" applyNumberFormat="1"/>
    <xf numFmtId="43" fontId="0" fillId="0" borderId="0" xfId="0" applyNumberFormat="1"/>
    <xf numFmtId="0" fontId="3" fillId="2" borderId="1" xfId="0" applyNumberFormat="1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 wrapText="1"/>
    </xf>
    <xf numFmtId="0" fontId="3" fillId="2" borderId="8" xfId="0" applyNumberFormat="1" applyFont="1" applyFill="1" applyBorder="1" applyAlignment="1">
      <alignment horizontal="center" vertical="center"/>
    </xf>
    <xf numFmtId="0" fontId="3" fillId="2" borderId="9" xfId="0" applyNumberFormat="1" applyFont="1" applyFill="1" applyBorder="1" applyAlignment="1">
      <alignment horizontal="center" vertical="center"/>
    </xf>
    <xf numFmtId="0" fontId="3" fillId="2" borderId="10" xfId="0" applyNumberFormat="1" applyFont="1" applyFill="1" applyBorder="1" applyAlignment="1">
      <alignment horizontal="center" vertical="center" wrapText="1"/>
    </xf>
    <xf numFmtId="0" fontId="3" fillId="2" borderId="15" xfId="0" applyNumberFormat="1" applyFont="1" applyFill="1" applyBorder="1" applyAlignment="1">
      <alignment horizontal="center" vertical="center" wrapText="1"/>
    </xf>
    <xf numFmtId="0" fontId="3" fillId="2" borderId="12" xfId="0" applyNumberFormat="1" applyFont="1" applyFill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0" fontId="1" fillId="0" borderId="1" xfId="0" applyNumberFormat="1" applyFont="1" applyBorder="1" applyAlignment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0" fontId="5" fillId="0" borderId="15" xfId="0" applyNumberFormat="1" applyFont="1" applyBorder="1" applyAlignment="1">
      <alignment horizontal="left" vertical="center" wrapText="1"/>
    </xf>
    <xf numFmtId="0" fontId="5" fillId="0" borderId="12" xfId="0" applyNumberFormat="1" applyFont="1" applyBorder="1" applyAlignment="1">
      <alignment horizontal="left" vertical="center"/>
    </xf>
    <xf numFmtId="0" fontId="0" fillId="0" borderId="12" xfId="0" quotePrefix="1" applyNumberFormat="1" applyBorder="1" applyAlignment="1">
      <alignment horizontal="center" vertical="center"/>
    </xf>
    <xf numFmtId="0" fontId="0" fillId="0" borderId="14" xfId="0" quotePrefix="1" applyNumberFormat="1" applyBorder="1" applyAlignment="1">
      <alignment horizontal="center" vertical="center"/>
    </xf>
    <xf numFmtId="0" fontId="0" fillId="0" borderId="12" xfId="0" quotePrefix="1" applyNumberFormat="1" applyBorder="1" applyAlignment="1">
      <alignment horizontal="right" vertical="center"/>
    </xf>
    <xf numFmtId="0" fontId="0" fillId="0" borderId="13" xfId="0" quotePrefix="1" applyNumberFormat="1" applyBorder="1" applyAlignment="1">
      <alignment horizontal="right" vertical="center"/>
    </xf>
  </cellXfs>
  <cellStyles count="24">
    <cellStyle name="Normal" xfId="0" builtinId="0"/>
    <cellStyle name="Normal_Planilha1" xfId="2" xr:uid="{00000000-0005-0000-0000-000001000000}"/>
    <cellStyle name="Normal_Planilha10" xfId="11" xr:uid="{00000000-0005-0000-0000-000002000000}"/>
    <cellStyle name="Normal_Planilha11" xfId="12" xr:uid="{00000000-0005-0000-0000-000003000000}"/>
    <cellStyle name="Normal_Planilha13" xfId="13" xr:uid="{EB8E562A-C21B-47B9-A79F-1F2CE3018D7D}"/>
    <cellStyle name="Normal_Planilha14" xfId="14" xr:uid="{7D156C10-4784-4CF7-84FD-D68004E8AEF4}"/>
    <cellStyle name="Normal_Planilha15" xfId="15" xr:uid="{3DD904CF-621C-4CA9-9FEC-D539A790F2A7}"/>
    <cellStyle name="Normal_Planilha16" xfId="16" xr:uid="{24A70A91-0A6C-4B97-B0E3-BD400146BB9F}"/>
    <cellStyle name="Normal_Planilha17" xfId="17" xr:uid="{FCC49F8C-2E69-4BDC-9918-6C8D7A1AB885}"/>
    <cellStyle name="Normal_Planilha18" xfId="18" xr:uid="{9C052F57-1434-42CC-9A43-872E09E51C18}"/>
    <cellStyle name="Normal_Planilha19" xfId="19" xr:uid="{D1DC35C5-A284-4F15-A7C6-4A5EAA3B4698}"/>
    <cellStyle name="Normal_Planilha2" xfId="3" xr:uid="{00000000-0005-0000-0000-000004000000}"/>
    <cellStyle name="Normal_Planilha20" xfId="20" xr:uid="{8F1BA5AE-B55E-474A-82E7-A0F1AA91D4FB}"/>
    <cellStyle name="Normal_Planilha21" xfId="21" xr:uid="{4ADF99D9-4E91-40B4-A9F4-2AB0499DD9FF}"/>
    <cellStyle name="Normal_Planilha22" xfId="22" xr:uid="{F1CBE55D-4F42-43D6-9448-60661C7390B5}"/>
    <cellStyle name="Normal_Planilha23" xfId="23" xr:uid="{A955BE05-C0A3-46C4-BE6B-9D590B989387}"/>
    <cellStyle name="Normal_Planilha3" xfId="4" xr:uid="{00000000-0005-0000-0000-000005000000}"/>
    <cellStyle name="Normal_Planilha4" xfId="5" xr:uid="{00000000-0005-0000-0000-000006000000}"/>
    <cellStyle name="Normal_Planilha5" xfId="6" xr:uid="{00000000-0005-0000-0000-000007000000}"/>
    <cellStyle name="Normal_Planilha6" xfId="7" xr:uid="{00000000-0005-0000-0000-000008000000}"/>
    <cellStyle name="Normal_Planilha7" xfId="8" xr:uid="{00000000-0005-0000-0000-000009000000}"/>
    <cellStyle name="Normal_Planilha8" xfId="9" xr:uid="{00000000-0005-0000-0000-00000A000000}"/>
    <cellStyle name="Normal_Planilha9" xfId="10" xr:uid="{00000000-0005-0000-0000-00000B000000}"/>
    <cellStyle name="Porcentagem" xfId="1" builtinId="5"/>
  </cellStyles>
  <dxfs count="6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000000"/>
          <bgColor rgb="FFF79646"/>
        </patternFill>
      </fill>
    </dxf>
    <dxf>
      <border outline="0">
        <top style="medium">
          <color rgb="FF000000"/>
        </top>
      </border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000000"/>
          <bgColor rgb="FFF79646"/>
        </patternFill>
      </fill>
    </dxf>
    <dxf>
      <border outline="0">
        <top style="medium">
          <color rgb="FF000000"/>
        </top>
      </border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microsoft.com/office/2007/relationships/hdphoto" Target="../media/hdphoto2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176022</xdr:colOff>
      <xdr:row>2</xdr:row>
      <xdr:rowOff>76201</xdr:rowOff>
    </xdr:from>
    <xdr:to>
      <xdr:col>2</xdr:col>
      <xdr:colOff>395587</xdr:colOff>
      <xdr:row>2</xdr:row>
      <xdr:rowOff>600075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C15EBEE-E282-45C1-BC0E-6ACAF55F9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14122" y="152401"/>
          <a:ext cx="1210165" cy="523874"/>
        </a:xfrm>
        <a:prstGeom prst="rect">
          <a:avLst/>
        </a:prstGeom>
      </xdr:spPr>
    </xdr:pic>
    <xdr:clientData/>
  </xdr:twoCellAnchor>
  <xdr:twoCellAnchor editAs="oneCell">
    <xdr:from>
      <xdr:col>12</xdr:col>
      <xdr:colOff>1038225</xdr:colOff>
      <xdr:row>2</xdr:row>
      <xdr:rowOff>64652</xdr:rowOff>
    </xdr:from>
    <xdr:to>
      <xdr:col>14</xdr:col>
      <xdr:colOff>298844</xdr:colOff>
      <xdr:row>2</xdr:row>
      <xdr:rowOff>514349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A2DFB05-5C69-4D5C-B9AF-36BC8E0B2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saturation sat="200000"/>
                  </a14:imgEffect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72875" y="140852"/>
          <a:ext cx="1270394" cy="4496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176022</xdr:colOff>
      <xdr:row>2</xdr:row>
      <xdr:rowOff>76201</xdr:rowOff>
    </xdr:from>
    <xdr:to>
      <xdr:col>2</xdr:col>
      <xdr:colOff>395587</xdr:colOff>
      <xdr:row>2</xdr:row>
      <xdr:rowOff>600075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74B2AFF-6952-4B73-B1D1-076D4FB5E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14122" y="152401"/>
          <a:ext cx="1210165" cy="523874"/>
        </a:xfrm>
        <a:prstGeom prst="rect">
          <a:avLst/>
        </a:prstGeom>
      </xdr:spPr>
    </xdr:pic>
    <xdr:clientData/>
  </xdr:twoCellAnchor>
  <xdr:twoCellAnchor editAs="oneCell">
    <xdr:from>
      <xdr:col>11</xdr:col>
      <xdr:colOff>1038225</xdr:colOff>
      <xdr:row>2</xdr:row>
      <xdr:rowOff>64652</xdr:rowOff>
    </xdr:from>
    <xdr:to>
      <xdr:col>13</xdr:col>
      <xdr:colOff>298844</xdr:colOff>
      <xdr:row>2</xdr:row>
      <xdr:rowOff>514349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4736AA3-55BA-4EAB-A5BE-95AA395CE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saturation sat="200000"/>
                  </a14:imgEffect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25" y="140852"/>
          <a:ext cx="1270394" cy="44969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rogress2" displayName="tblProgress2" ref="B7:N72" totalsRowCount="1" headerRowDxfId="59" totalsRowDxfId="56" headerRowBorderDxfId="58" tableBorderDxfId="57">
  <autoFilter ref="B7:N71" xr:uid="{00000000-0009-0000-0100-000001000000}"/>
  <tableColumns count="13">
    <tableColumn id="1" xr3:uid="{00000000-0010-0000-0000-000001000000}" name="Project_x000a_Projeto" totalsRowLabel="Total" dataDxfId="55" totalsRowDxfId="54"/>
    <tableColumn id="2" xr3:uid="{00000000-0010-0000-0000-000002000000}" name="Module_x000a_Módulo" dataDxfId="53" totalsRowDxfId="52"/>
    <tableColumn id="3" xr3:uid="{00000000-0010-0000-0000-000003000000}" name="Block_x000a_DM" dataDxfId="51" totalsRowDxfId="50"/>
    <tableColumn id="6" xr3:uid="{00000000-0010-0000-0000-000006000000}" name="Part_x000a_Area" dataDxfId="49" totalsRowDxfId="48"/>
    <tableColumn id="4" xr3:uid="{00000000-0010-0000-0000-000004000000}" name="Weight Project_x000a_Peso do Projeto" totalsRowFunction="sum" dataDxfId="47" totalsRowDxfId="46"/>
    <tableColumn id="8" xr3:uid="{00000000-0010-0000-0000-000008000000}" name="F. Weight_x000a_Peso Aju." totalsRowFunction="sum" dataDxfId="45" totalsRowDxfId="44"/>
    <tableColumn id="9" xr3:uid="{00000000-0010-0000-0000-000009000000}" name="% F. Prog._x000a_Percent. Aju." dataDxfId="43" totalsRowDxfId="42"/>
    <tableColumn id="10" xr3:uid="{00000000-0010-0000-0000-00000A000000}" name="W. Weight_x000a_Peso Sold." totalsRowFunction="sum" dataDxfId="41" totalsRowDxfId="40"/>
    <tableColumn id="11" xr3:uid="{00000000-0010-0000-0000-00000B000000}" name="% W. Prog._x000a_Percent. Sold." dataDxfId="39" totalsRowDxfId="38"/>
    <tableColumn id="12" xr3:uid="{00000000-0010-0000-0000-00000C000000}" name="NDT Weight_x000a_Peso Insp." totalsRowFunction="sum" dataDxfId="37" totalsRowDxfId="36"/>
    <tableColumn id="13" xr3:uid="{00000000-0010-0000-0000-00000D000000}" name="% NDT Prog._x000a_Percent. Insp." dataDxfId="35" totalsRowDxfId="34"/>
    <tableColumn id="5" xr3:uid="{00000000-0010-0000-0000-000005000000}" name="Weight_x000a_Peso Dim" totalsRowFunction="sum" dataDxfId="33" totalsRowDxfId="32"/>
    <tableColumn id="14" xr3:uid="{00000000-0010-0000-0000-00000E000000}" name="% Prog._x000a_Percent. Dim" dataDxfId="31" totalsRowDxfId="30"/>
  </tableColumns>
  <tableStyleInfo name="TableStyleLight15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946CD3-35DA-420B-81D7-CC88506ADFB9}" name="tblProgress23" displayName="tblProgress23" ref="B7:N74" totalsRowCount="1" headerRowDxfId="29" totalsRowDxfId="26" headerRowBorderDxfId="28" tableBorderDxfId="27">
  <autoFilter ref="B7:N73" xr:uid="{00000000-0009-0000-0100-000001000000}"/>
  <sortState xmlns:xlrd2="http://schemas.microsoft.com/office/spreadsheetml/2017/richdata2" ref="B8:N73">
    <sortCondition ref="D7:D73"/>
  </sortState>
  <tableColumns count="13">
    <tableColumn id="1" xr3:uid="{1B078FE1-2F15-413C-80FD-538EDFE4E675}" name="Project_x000a_Projeto" totalsRowLabel="Total" dataDxfId="25" totalsRowDxfId="24"/>
    <tableColumn id="2" xr3:uid="{5A4164F1-F3D6-4D00-A34B-413866FA018F}" name="Module_x000a_Módulo" dataDxfId="23" totalsRowDxfId="22"/>
    <tableColumn id="3" xr3:uid="{CF158179-6AC9-4347-ACE5-0C026A8AB7EC}" name="Block_x000a_DM" dataDxfId="21" totalsRowDxfId="20"/>
    <tableColumn id="6" xr3:uid="{21D0E713-E995-4A3C-B4A6-B0789A25D7A9}" name="Part_x000a_Area" dataDxfId="19" totalsRowDxfId="18"/>
    <tableColumn id="4" xr3:uid="{CA8E8517-D026-40D7-9849-3F123EA102DF}" name="Weight Project_x000a_Peso do Projeto" totalsRowFunction="sum" dataDxfId="17" totalsRowDxfId="16"/>
    <tableColumn id="8" xr3:uid="{11CBEB3A-750B-4986-A17B-89B4038F818E}" name="F. Weight_x000a_Peso Aju." totalsRowFunction="sum" dataDxfId="15" totalsRowDxfId="14">
      <calculatedColumnFormula>tblProgress23[[#This Row],[Weight Project
Peso do Projeto]]*tblProgress23[[#This Row],[% F. Prog.
Percent. Aju.]]</calculatedColumnFormula>
    </tableColumn>
    <tableColumn id="9" xr3:uid="{96B76B94-B784-4BEB-8CDA-53EE126A6C9C}" name="% F. Prog._x000a_Percent. Aju." dataDxfId="13" totalsRowDxfId="12">
      <calculatedColumnFormula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calculatedColumnFormula>
    </tableColumn>
    <tableColumn id="10" xr3:uid="{0785D466-7787-4B07-914A-3C67A7803438}" name="W. Weight_x000a_Peso Sold." totalsRowFunction="sum" dataDxfId="11" totalsRowDxfId="10">
      <calculatedColumnFormula>tblProgress23[[#This Row],[Weight Project
Peso do Projeto]]*tblProgress23[[#This Row],[% W. Prog.
Percent. Sold.]]</calculatedColumnFormula>
    </tableColumn>
    <tableColumn id="11" xr3:uid="{DB04C7C1-1A04-4F5B-84CF-3FC11F5291B1}" name="% W. Prog._x000a_Percent. Sold." dataDxfId="9" totalsRowDxfId="8">
      <calculatedColumnFormula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calculatedColumnFormula>
    </tableColumn>
    <tableColumn id="12" xr3:uid="{7B236622-BBCB-420A-92BD-B35AC4CBFB7A}" name="NDT Weight_x000a_Peso Insp." totalsRowFunction="sum" dataDxfId="7" totalsRowDxfId="6">
      <calculatedColumnFormula>tblProgress23[[#This Row],[Weight Project
Peso do Projeto]]*tblProgress23[[#This Row],[% NDT Prog.
Percent. Insp.]]</calculatedColumnFormula>
    </tableColumn>
    <tableColumn id="13" xr3:uid="{27DA1709-1E4F-4171-9C8F-032405CBF87A}" name="% NDT Prog._x000a_Percent. Insp." dataDxfId="5" totalsRowDxfId="4">
      <calculatedColumnFormula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calculatedColumnFormula>
    </tableColumn>
    <tableColumn id="5" xr3:uid="{85E68EBC-553E-4F08-9DEF-334E81FE2882}" name="Weight_x000a_Peso Dim" totalsRowFunction="sum" dataDxfId="3" totalsRowDxfId="2">
      <calculatedColumnFormula>IF(tblProgress23[[#This Row],[% NDT Prog.
Percent. Insp.]]&lt;1,0,1*tblProgress23[[#This Row],[Weight Project
Peso do Projeto]])</calculatedColumnFormula>
    </tableColumn>
    <tableColumn id="14" xr3:uid="{3DD24AE2-9EB6-476B-9732-D922276BFDE5}" name="% Prog._x000a_Percent. Dim" dataDxfId="1" totalsRowDxfId="0">
      <calculatedColumnFormula>IF(tblProgress23[[#This Row],[% NDT Prog.
Percent. Insp.]]&lt;1,0,1)</calculatedColumnFormula>
    </tableColumn>
  </tableColumns>
  <tableStyleInfo name="TableStyleLight15" showFirstColumn="0" showLastColumn="0" showRowStripes="0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>
    <pageSetUpPr fitToPage="1"/>
  </sheetPr>
  <dimension ref="B1:R78"/>
  <sheetViews>
    <sheetView showGridLines="0" topLeftCell="A25" zoomScaleNormal="100" workbookViewId="0">
      <selection activeCell="F46" sqref="F46:N46"/>
    </sheetView>
  </sheetViews>
  <sheetFormatPr defaultColWidth="9.140625" defaultRowHeight="15" x14ac:dyDescent="0.25"/>
  <cols>
    <col min="1" max="1" width="0.5703125" style="1" customWidth="1"/>
    <col min="2" max="2" width="14.85546875" style="1" bestFit="1" customWidth="1"/>
    <col min="3" max="4" width="12.5703125" style="1" bestFit="1" customWidth="1"/>
    <col min="5" max="5" width="16.85546875" style="1" bestFit="1" customWidth="1"/>
    <col min="6" max="6" width="16.85546875" style="1" customWidth="1"/>
    <col min="7" max="7" width="19" style="1" bestFit="1" customWidth="1"/>
    <col min="8" max="8" width="14.140625" style="1" bestFit="1" customWidth="1"/>
    <col min="9" max="9" width="15.5703125" style="1" bestFit="1" customWidth="1"/>
    <col min="10" max="10" width="16.5703125" style="1" customWidth="1"/>
    <col min="11" max="11" width="16.28515625" style="1" bestFit="1" customWidth="1"/>
    <col min="12" max="12" width="20.42578125" style="1" bestFit="1" customWidth="1"/>
    <col min="13" max="13" width="16.28515625" style="1" bestFit="1" customWidth="1"/>
    <col min="14" max="14" width="13.85546875" style="1" bestFit="1" customWidth="1"/>
    <col min="15" max="15" width="17" style="1" bestFit="1" customWidth="1"/>
    <col min="16" max="18" width="9.140625" style="1"/>
    <col min="19" max="19" width="10.140625" style="1" bestFit="1" customWidth="1"/>
    <col min="20" max="16384" width="9.140625" style="1"/>
  </cols>
  <sheetData>
    <row r="1" spans="2:18" ht="3" customHeight="1" thickBot="1" x14ac:dyDescent="0.3">
      <c r="B1" s="3"/>
      <c r="C1" s="3"/>
    </row>
    <row r="2" spans="2:18" ht="3" customHeight="1" x14ac:dyDescent="0.25">
      <c r="B2" s="160"/>
      <c r="C2" s="161"/>
      <c r="D2" s="164" t="s">
        <v>20</v>
      </c>
      <c r="E2" s="165"/>
      <c r="F2" s="165"/>
      <c r="G2" s="165"/>
      <c r="H2" s="165"/>
      <c r="I2" s="165"/>
      <c r="J2" s="165"/>
      <c r="K2" s="165"/>
      <c r="L2" s="166"/>
      <c r="M2" s="164"/>
      <c r="N2" s="165"/>
      <c r="O2" s="166"/>
    </row>
    <row r="3" spans="2:18" ht="56.25" customHeight="1" thickBot="1" x14ac:dyDescent="0.3">
      <c r="B3" s="162"/>
      <c r="C3" s="163"/>
      <c r="D3" s="167"/>
      <c r="E3" s="168"/>
      <c r="F3" s="168"/>
      <c r="G3" s="168"/>
      <c r="H3" s="168"/>
      <c r="I3" s="168"/>
      <c r="J3" s="168"/>
      <c r="K3" s="168"/>
      <c r="L3" s="169"/>
      <c r="M3" s="167"/>
      <c r="N3" s="168"/>
      <c r="O3" s="169"/>
    </row>
    <row r="4" spans="2:18" ht="19.5" customHeight="1" thickBot="1" x14ac:dyDescent="0.3">
      <c r="B4" s="11"/>
      <c r="C4" s="2"/>
      <c r="D4" s="2"/>
      <c r="E4" s="2"/>
      <c r="F4" s="2"/>
      <c r="G4" s="2"/>
      <c r="H4" s="12" t="s">
        <v>0</v>
      </c>
      <c r="I4" s="14">
        <f ca="1">NOW()</f>
        <v>44540.437655439811</v>
      </c>
      <c r="J4" s="2"/>
      <c r="K4" s="2"/>
      <c r="L4" s="2"/>
      <c r="M4" s="2"/>
      <c r="N4" s="2"/>
      <c r="O4" s="13"/>
    </row>
    <row r="5" spans="2:18" ht="28.5" customHeight="1" thickBot="1" x14ac:dyDescent="0.3">
      <c r="B5" s="7" t="s">
        <v>13</v>
      </c>
      <c r="C5" s="8"/>
      <c r="D5" s="9" t="s">
        <v>26</v>
      </c>
      <c r="E5" s="10" t="s">
        <v>14</v>
      </c>
      <c r="F5" s="10"/>
      <c r="G5" s="83" t="s">
        <v>153</v>
      </c>
      <c r="H5" s="170" t="s">
        <v>15</v>
      </c>
      <c r="I5" s="171"/>
      <c r="J5" s="172" t="s">
        <v>152</v>
      </c>
      <c r="K5" s="173"/>
      <c r="L5" s="20" t="s">
        <v>16</v>
      </c>
      <c r="M5" s="174" t="s">
        <v>1</v>
      </c>
      <c r="N5" s="174"/>
      <c r="O5" s="175"/>
    </row>
    <row r="6" spans="2:18" ht="29.25" customHeight="1" thickBot="1" x14ac:dyDescent="0.3">
      <c r="B6" s="152" t="s">
        <v>12</v>
      </c>
      <c r="C6" s="153"/>
      <c r="D6" s="153"/>
      <c r="E6" s="153"/>
      <c r="F6" s="153"/>
      <c r="G6" s="153"/>
      <c r="H6" s="154" t="s">
        <v>23</v>
      </c>
      <c r="I6" s="155"/>
      <c r="J6" s="154" t="s">
        <v>22</v>
      </c>
      <c r="K6" s="156"/>
      <c r="L6" s="157" t="s">
        <v>17</v>
      </c>
      <c r="M6" s="156"/>
      <c r="N6" s="158" t="s">
        <v>24</v>
      </c>
      <c r="O6" s="159"/>
    </row>
    <row r="7" spans="2:18" ht="30.75" thickBot="1" x14ac:dyDescent="0.3">
      <c r="B7" s="4" t="s">
        <v>2</v>
      </c>
      <c r="C7" s="5" t="s">
        <v>3</v>
      </c>
      <c r="D7" s="5" t="s">
        <v>4</v>
      </c>
      <c r="E7" s="21" t="s">
        <v>21</v>
      </c>
      <c r="F7" s="6" t="s">
        <v>5</v>
      </c>
      <c r="G7" s="6" t="s">
        <v>6</v>
      </c>
      <c r="H7" s="6" t="s">
        <v>7</v>
      </c>
      <c r="I7" s="6" t="s">
        <v>8</v>
      </c>
      <c r="J7" s="6" t="s">
        <v>9</v>
      </c>
      <c r="K7" s="6" t="s">
        <v>10</v>
      </c>
      <c r="L7" s="6" t="s">
        <v>11</v>
      </c>
      <c r="M7" s="6" t="s">
        <v>18</v>
      </c>
      <c r="N7" s="6" t="s">
        <v>19</v>
      </c>
    </row>
    <row r="8" spans="2:18" s="16" customFormat="1" x14ac:dyDescent="0.25">
      <c r="B8" s="16" t="s">
        <v>26</v>
      </c>
      <c r="C8" s="16" t="s">
        <v>54</v>
      </c>
      <c r="D8" s="16" t="s">
        <v>82</v>
      </c>
      <c r="E8" s="16" t="s">
        <v>83</v>
      </c>
      <c r="F8" s="15">
        <v>61548.353999999999</v>
      </c>
      <c r="G8" s="17">
        <v>0</v>
      </c>
      <c r="H8" s="18" t="s">
        <v>187</v>
      </c>
      <c r="I8" s="17">
        <v>0</v>
      </c>
      <c r="J8" s="18" t="s">
        <v>187</v>
      </c>
      <c r="K8" s="17">
        <v>0</v>
      </c>
      <c r="L8" s="18" t="s">
        <v>187</v>
      </c>
      <c r="M8" s="17">
        <v>0</v>
      </c>
      <c r="N8" s="18" t="s">
        <v>187</v>
      </c>
    </row>
    <row r="9" spans="2:18" s="16" customFormat="1" x14ac:dyDescent="0.25">
      <c r="B9" s="16" t="s">
        <v>26</v>
      </c>
      <c r="C9" s="16" t="s">
        <v>54</v>
      </c>
      <c r="D9" s="16" t="s">
        <v>84</v>
      </c>
      <c r="E9" s="16" t="s">
        <v>83</v>
      </c>
      <c r="F9" s="15">
        <v>61548.354399999997</v>
      </c>
      <c r="G9" s="17">
        <v>0</v>
      </c>
      <c r="H9" s="18" t="s">
        <v>187</v>
      </c>
      <c r="I9" s="17">
        <v>0</v>
      </c>
      <c r="J9" s="18" t="s">
        <v>187</v>
      </c>
      <c r="K9" s="17">
        <v>0</v>
      </c>
      <c r="L9" s="18" t="s">
        <v>187</v>
      </c>
      <c r="M9" s="19">
        <v>0</v>
      </c>
      <c r="N9" s="18" t="s">
        <v>187</v>
      </c>
      <c r="R9" s="17"/>
    </row>
    <row r="10" spans="2:18" x14ac:dyDescent="0.25">
      <c r="B10" s="1" t="s">
        <v>26</v>
      </c>
      <c r="C10" s="1" t="s">
        <v>54</v>
      </c>
      <c r="D10" s="1" t="s">
        <v>94</v>
      </c>
      <c r="E10" s="1" t="s">
        <v>101</v>
      </c>
      <c r="F10" s="15">
        <v>116529.74</v>
      </c>
      <c r="G10" s="15">
        <v>14566.217500000001</v>
      </c>
      <c r="H10" s="18" t="s">
        <v>253</v>
      </c>
      <c r="I10" s="15">
        <v>14566.217500000001</v>
      </c>
      <c r="J10" s="18" t="s">
        <v>253</v>
      </c>
      <c r="K10" s="15">
        <v>4855.4058333333332</v>
      </c>
      <c r="L10" s="18" t="s">
        <v>254</v>
      </c>
      <c r="M10" s="15">
        <v>0</v>
      </c>
      <c r="N10" s="18" t="s">
        <v>187</v>
      </c>
    </row>
    <row r="11" spans="2:18" x14ac:dyDescent="0.25">
      <c r="B11" s="1" t="s">
        <v>26</v>
      </c>
      <c r="C11" s="1" t="s">
        <v>54</v>
      </c>
      <c r="D11" s="1" t="s">
        <v>79</v>
      </c>
      <c r="E11" s="1" t="s">
        <v>59</v>
      </c>
      <c r="F11" s="15">
        <v>66526.931673225001</v>
      </c>
      <c r="G11" s="15">
        <v>66526.931673225015</v>
      </c>
      <c r="H11" s="18" t="s">
        <v>186</v>
      </c>
      <c r="I11" s="15">
        <v>66526.931673225015</v>
      </c>
      <c r="J11" s="18" t="s">
        <v>186</v>
      </c>
      <c r="K11" s="15">
        <v>66526.931673225015</v>
      </c>
      <c r="L11" s="18" t="s">
        <v>186</v>
      </c>
      <c r="M11" s="15">
        <v>66526.931673225015</v>
      </c>
      <c r="N11" s="18" t="s">
        <v>186</v>
      </c>
    </row>
    <row r="12" spans="2:18" s="16" customFormat="1" x14ac:dyDescent="0.25">
      <c r="B12" s="16" t="s">
        <v>26</v>
      </c>
      <c r="C12" s="16" t="s">
        <v>54</v>
      </c>
      <c r="D12" s="16" t="s">
        <v>80</v>
      </c>
      <c r="E12" s="16" t="s">
        <v>59</v>
      </c>
      <c r="F12" s="15">
        <v>27322.57</v>
      </c>
      <c r="G12" s="15">
        <v>27322.570000000014</v>
      </c>
      <c r="H12" s="18" t="s">
        <v>186</v>
      </c>
      <c r="I12" s="15">
        <v>27322.570000000014</v>
      </c>
      <c r="J12" s="18" t="s">
        <v>186</v>
      </c>
      <c r="K12" s="15">
        <v>27322.570000000014</v>
      </c>
      <c r="L12" s="18" t="s">
        <v>186</v>
      </c>
      <c r="M12" s="15">
        <v>27322.570000000014</v>
      </c>
      <c r="N12" s="18" t="s">
        <v>186</v>
      </c>
    </row>
    <row r="13" spans="2:18" s="16" customFormat="1" x14ac:dyDescent="0.25">
      <c r="B13" s="16" t="s">
        <v>26</v>
      </c>
      <c r="C13" s="16" t="s">
        <v>54</v>
      </c>
      <c r="D13" s="16" t="s">
        <v>89</v>
      </c>
      <c r="E13" s="16" t="s">
        <v>59</v>
      </c>
      <c r="F13" s="15">
        <v>7738.9</v>
      </c>
      <c r="G13" s="15">
        <v>7738.8999999999987</v>
      </c>
      <c r="H13" s="18" t="s">
        <v>186</v>
      </c>
      <c r="I13" s="15">
        <v>7738.8999999999987</v>
      </c>
      <c r="J13" s="18" t="s">
        <v>186</v>
      </c>
      <c r="K13" s="15">
        <v>7738.8999999999987</v>
      </c>
      <c r="L13" s="18" t="s">
        <v>186</v>
      </c>
      <c r="M13" s="15">
        <v>7738.8999999999987</v>
      </c>
      <c r="N13" s="18" t="s">
        <v>186</v>
      </c>
    </row>
    <row r="14" spans="2:18" x14ac:dyDescent="0.25">
      <c r="B14" s="1" t="s">
        <v>26</v>
      </c>
      <c r="C14" s="1" t="s">
        <v>54</v>
      </c>
      <c r="D14" s="1" t="s">
        <v>90</v>
      </c>
      <c r="E14" s="1" t="s">
        <v>59</v>
      </c>
      <c r="F14" s="30">
        <v>12606.7</v>
      </c>
      <c r="G14" s="15">
        <v>12606.7</v>
      </c>
      <c r="H14" s="18" t="s">
        <v>186</v>
      </c>
      <c r="I14" s="15">
        <v>12606.7</v>
      </c>
      <c r="J14" s="18" t="s">
        <v>186</v>
      </c>
      <c r="K14" s="15">
        <v>12606.7</v>
      </c>
      <c r="L14" s="18" t="s">
        <v>186</v>
      </c>
      <c r="M14" s="15">
        <v>12606.7</v>
      </c>
      <c r="N14" s="18" t="s">
        <v>186</v>
      </c>
      <c r="R14" s="15"/>
    </row>
    <row r="15" spans="2:18" x14ac:dyDescent="0.25">
      <c r="B15" s="1" t="s">
        <v>26</v>
      </c>
      <c r="C15" s="1" t="s">
        <v>54</v>
      </c>
      <c r="D15" s="1" t="s">
        <v>87</v>
      </c>
      <c r="E15" s="1" t="s">
        <v>59</v>
      </c>
      <c r="F15" s="15">
        <v>11821.4</v>
      </c>
      <c r="G15" s="15">
        <v>11821.399999999996</v>
      </c>
      <c r="H15" s="18" t="s">
        <v>186</v>
      </c>
      <c r="I15" s="15">
        <v>11821.399999999996</v>
      </c>
      <c r="J15" s="18" t="s">
        <v>186</v>
      </c>
      <c r="K15" s="15">
        <v>11821.399999999996</v>
      </c>
      <c r="L15" s="18" t="s">
        <v>186</v>
      </c>
      <c r="M15" s="15">
        <v>11821.399999999996</v>
      </c>
      <c r="N15" s="18" t="s">
        <v>186</v>
      </c>
    </row>
    <row r="16" spans="2:18" x14ac:dyDescent="0.25">
      <c r="B16" s="1" t="s">
        <v>26</v>
      </c>
      <c r="C16" s="1" t="s">
        <v>54</v>
      </c>
      <c r="D16" s="1" t="s">
        <v>93</v>
      </c>
      <c r="E16" s="1" t="s">
        <v>59</v>
      </c>
      <c r="F16" s="15">
        <v>13649.2</v>
      </c>
      <c r="G16" s="15">
        <v>13649.199999999999</v>
      </c>
      <c r="H16" s="18" t="s">
        <v>186</v>
      </c>
      <c r="I16" s="15">
        <v>13649.199999999999</v>
      </c>
      <c r="J16" s="18" t="s">
        <v>186</v>
      </c>
      <c r="K16" s="15">
        <v>13649.199999999999</v>
      </c>
      <c r="L16" s="18" t="s">
        <v>186</v>
      </c>
      <c r="M16" s="15">
        <v>13649.199999999999</v>
      </c>
      <c r="N16" s="18" t="s">
        <v>186</v>
      </c>
    </row>
    <row r="17" spans="2:14" x14ac:dyDescent="0.25">
      <c r="B17" s="1" t="s">
        <v>26</v>
      </c>
      <c r="C17" s="1" t="s">
        <v>54</v>
      </c>
      <c r="D17" s="1" t="s">
        <v>58</v>
      </c>
      <c r="E17" s="1" t="s">
        <v>59</v>
      </c>
      <c r="F17" s="15">
        <v>18010.695291249998</v>
      </c>
      <c r="G17" s="15">
        <v>18010.695291250006</v>
      </c>
      <c r="H17" s="18" t="s">
        <v>186</v>
      </c>
      <c r="I17" s="15">
        <v>18010.695291250006</v>
      </c>
      <c r="J17" s="18" t="s">
        <v>186</v>
      </c>
      <c r="K17" s="15">
        <v>18010.695291250006</v>
      </c>
      <c r="L17" s="18" t="s">
        <v>186</v>
      </c>
      <c r="M17" s="15">
        <v>18010.695291250006</v>
      </c>
      <c r="N17" s="18" t="s">
        <v>186</v>
      </c>
    </row>
    <row r="18" spans="2:14" x14ac:dyDescent="0.25">
      <c r="B18" s="1" t="s">
        <v>26</v>
      </c>
      <c r="C18" s="1" t="s">
        <v>54</v>
      </c>
      <c r="D18" s="1" t="s">
        <v>77</v>
      </c>
      <c r="E18" s="1" t="s">
        <v>59</v>
      </c>
      <c r="F18" s="15">
        <v>14499.95472485</v>
      </c>
      <c r="G18" s="15">
        <v>14499.954724850006</v>
      </c>
      <c r="H18" s="18" t="s">
        <v>186</v>
      </c>
      <c r="I18" s="15">
        <v>14499.954724850006</v>
      </c>
      <c r="J18" s="18" t="s">
        <v>186</v>
      </c>
      <c r="K18" s="15">
        <v>14499.954724850006</v>
      </c>
      <c r="L18" s="18" t="s">
        <v>186</v>
      </c>
      <c r="M18" s="15">
        <v>14499.954724850006</v>
      </c>
      <c r="N18" s="18" t="s">
        <v>186</v>
      </c>
    </row>
    <row r="19" spans="2:14" x14ac:dyDescent="0.25">
      <c r="B19" s="1" t="s">
        <v>26</v>
      </c>
      <c r="C19" s="1" t="s">
        <v>54</v>
      </c>
      <c r="D19" s="1" t="s">
        <v>62</v>
      </c>
      <c r="E19" s="1" t="s">
        <v>164</v>
      </c>
      <c r="F19" s="15">
        <v>83412.565384615402</v>
      </c>
      <c r="G19" s="15">
        <v>75468.51153846152</v>
      </c>
      <c r="H19" s="18" t="s">
        <v>194</v>
      </c>
      <c r="I19" s="15">
        <v>55608.376923076903</v>
      </c>
      <c r="J19" s="18" t="s">
        <v>252</v>
      </c>
      <c r="K19" s="15">
        <v>45678.309615384605</v>
      </c>
      <c r="L19" s="18" t="s">
        <v>240</v>
      </c>
      <c r="M19" s="15">
        <v>0</v>
      </c>
      <c r="N19" s="18" t="s">
        <v>187</v>
      </c>
    </row>
    <row r="20" spans="2:14" x14ac:dyDescent="0.25">
      <c r="B20" s="1" t="s">
        <v>26</v>
      </c>
      <c r="C20" s="1" t="s">
        <v>54</v>
      </c>
      <c r="D20" s="1" t="s">
        <v>62</v>
      </c>
      <c r="E20" s="1" t="s">
        <v>165</v>
      </c>
      <c r="F20" s="15">
        <v>19860.134615384599</v>
      </c>
      <c r="G20" s="15">
        <v>7944.0538461538445</v>
      </c>
      <c r="H20" s="18" t="s">
        <v>197</v>
      </c>
      <c r="I20" s="15">
        <v>1986.0134615384611</v>
      </c>
      <c r="J20" s="18" t="s">
        <v>234</v>
      </c>
      <c r="K20" s="15">
        <v>0</v>
      </c>
      <c r="L20" s="18" t="s">
        <v>187</v>
      </c>
      <c r="M20" s="15">
        <v>0</v>
      </c>
      <c r="N20" s="18" t="s">
        <v>187</v>
      </c>
    </row>
    <row r="21" spans="2:14" x14ac:dyDescent="0.25">
      <c r="B21" s="1" t="s">
        <v>26</v>
      </c>
      <c r="C21" s="1" t="s">
        <v>54</v>
      </c>
      <c r="D21" s="1" t="s">
        <v>64</v>
      </c>
      <c r="E21" s="1" t="s">
        <v>164</v>
      </c>
      <c r="F21" s="15">
        <v>53557.390769230798</v>
      </c>
      <c r="G21" s="15">
        <v>53557.390769230769</v>
      </c>
      <c r="H21" s="18" t="s">
        <v>186</v>
      </c>
      <c r="I21" s="15">
        <v>53557.390769230769</v>
      </c>
      <c r="J21" s="18" t="s">
        <v>186</v>
      </c>
      <c r="K21" s="15">
        <v>53557.390769230769</v>
      </c>
      <c r="L21" s="18" t="s">
        <v>186</v>
      </c>
      <c r="M21" s="15">
        <v>53557.390769230769</v>
      </c>
      <c r="N21" s="18" t="s">
        <v>186</v>
      </c>
    </row>
    <row r="22" spans="2:14" x14ac:dyDescent="0.25">
      <c r="B22" s="1" t="s">
        <v>26</v>
      </c>
      <c r="C22" s="1" t="s">
        <v>54</v>
      </c>
      <c r="D22" s="1" t="s">
        <v>64</v>
      </c>
      <c r="E22" s="1" t="s">
        <v>165</v>
      </c>
      <c r="F22" s="15">
        <v>33473.369230769204</v>
      </c>
      <c r="G22" s="15">
        <v>33473.369230769233</v>
      </c>
      <c r="H22" s="18" t="s">
        <v>186</v>
      </c>
      <c r="I22" s="15">
        <v>33473.369230769233</v>
      </c>
      <c r="J22" s="18" t="s">
        <v>186</v>
      </c>
      <c r="K22" s="15">
        <v>33473.369230769233</v>
      </c>
      <c r="L22" s="18" t="s">
        <v>186</v>
      </c>
      <c r="M22" s="15">
        <v>33473.369230769233</v>
      </c>
      <c r="N22" s="18" t="s">
        <v>186</v>
      </c>
    </row>
    <row r="23" spans="2:14" x14ac:dyDescent="0.25">
      <c r="B23" s="1" t="s">
        <v>26</v>
      </c>
      <c r="C23" s="1" t="s">
        <v>54</v>
      </c>
      <c r="D23" s="1" t="s">
        <v>71</v>
      </c>
      <c r="E23" s="1" t="s">
        <v>164</v>
      </c>
      <c r="F23" s="15">
        <v>82046.399999999994</v>
      </c>
      <c r="G23" s="15">
        <v>82046.400000000009</v>
      </c>
      <c r="H23" s="18" t="s">
        <v>186</v>
      </c>
      <c r="I23" s="15">
        <v>82046.400000000009</v>
      </c>
      <c r="J23" s="18" t="s">
        <v>186</v>
      </c>
      <c r="K23" s="15">
        <v>82046.400000000009</v>
      </c>
      <c r="L23" s="18" t="s">
        <v>186</v>
      </c>
      <c r="M23" s="15">
        <v>82046.400000000009</v>
      </c>
      <c r="N23" s="18" t="s">
        <v>186</v>
      </c>
    </row>
    <row r="24" spans="2:14" x14ac:dyDescent="0.25">
      <c r="B24" s="1" t="s">
        <v>26</v>
      </c>
      <c r="C24" s="1" t="s">
        <v>54</v>
      </c>
      <c r="D24" s="1" t="s">
        <v>75</v>
      </c>
      <c r="E24" s="1" t="s">
        <v>164</v>
      </c>
      <c r="F24" s="15">
        <v>80497.16</v>
      </c>
      <c r="G24" s="15">
        <v>80497.16</v>
      </c>
      <c r="H24" s="18" t="s">
        <v>186</v>
      </c>
      <c r="I24" s="15">
        <v>80497.16</v>
      </c>
      <c r="J24" s="18" t="s">
        <v>186</v>
      </c>
      <c r="K24" s="15">
        <v>80497.16</v>
      </c>
      <c r="L24" s="18" t="s">
        <v>186</v>
      </c>
      <c r="M24" s="15">
        <v>80497.16</v>
      </c>
      <c r="N24" s="18" t="s">
        <v>186</v>
      </c>
    </row>
    <row r="25" spans="2:14" x14ac:dyDescent="0.25">
      <c r="B25" s="1" t="s">
        <v>26</v>
      </c>
      <c r="C25" s="1" t="s">
        <v>54</v>
      </c>
      <c r="D25" s="1" t="s">
        <v>81</v>
      </c>
      <c r="E25" s="1" t="s">
        <v>165</v>
      </c>
      <c r="F25" s="15">
        <v>89010.22</v>
      </c>
      <c r="G25" s="15">
        <v>89010.219999999987</v>
      </c>
      <c r="H25" s="18" t="s">
        <v>186</v>
      </c>
      <c r="I25" s="15">
        <v>89010.219999999987</v>
      </c>
      <c r="J25" s="18" t="s">
        <v>186</v>
      </c>
      <c r="K25" s="15">
        <v>89010.219999999987</v>
      </c>
      <c r="L25" s="18" t="s">
        <v>186</v>
      </c>
      <c r="M25" s="15">
        <v>89010.219999999987</v>
      </c>
      <c r="N25" s="18" t="s">
        <v>186</v>
      </c>
    </row>
    <row r="26" spans="2:14" x14ac:dyDescent="0.25">
      <c r="B26" s="16" t="s">
        <v>26</v>
      </c>
      <c r="C26" s="16" t="s">
        <v>54</v>
      </c>
      <c r="D26" s="16" t="s">
        <v>85</v>
      </c>
      <c r="E26" s="1" t="s">
        <v>165</v>
      </c>
      <c r="F26" s="15">
        <v>88239.1</v>
      </c>
      <c r="G26" s="15">
        <v>88239.10000000002</v>
      </c>
      <c r="H26" s="18" t="s">
        <v>186</v>
      </c>
      <c r="I26" s="15">
        <v>88239.10000000002</v>
      </c>
      <c r="J26" s="18" t="s">
        <v>186</v>
      </c>
      <c r="K26" s="15">
        <v>88239.10000000002</v>
      </c>
      <c r="L26" s="18" t="s">
        <v>186</v>
      </c>
      <c r="M26" s="15">
        <v>88239.10000000002</v>
      </c>
      <c r="N26" s="18" t="s">
        <v>186</v>
      </c>
    </row>
    <row r="27" spans="2:14" x14ac:dyDescent="0.25">
      <c r="B27" s="1" t="s">
        <v>26</v>
      </c>
      <c r="C27" s="1" t="s">
        <v>54</v>
      </c>
      <c r="D27" s="1" t="s">
        <v>86</v>
      </c>
      <c r="E27" s="1" t="s">
        <v>164</v>
      </c>
      <c r="F27" s="15">
        <v>21576.174317647099</v>
      </c>
      <c r="G27" s="15">
        <v>0</v>
      </c>
      <c r="H27" s="18" t="s">
        <v>187</v>
      </c>
      <c r="I27" s="15">
        <v>0</v>
      </c>
      <c r="J27" s="18" t="s">
        <v>187</v>
      </c>
      <c r="K27" s="15">
        <v>0</v>
      </c>
      <c r="L27" s="18" t="s">
        <v>187</v>
      </c>
      <c r="M27" s="15">
        <v>0</v>
      </c>
      <c r="N27" s="18" t="s">
        <v>187</v>
      </c>
    </row>
    <row r="28" spans="2:14" x14ac:dyDescent="0.25">
      <c r="B28" s="1" t="s">
        <v>26</v>
      </c>
      <c r="C28" s="1" t="s">
        <v>54</v>
      </c>
      <c r="D28" s="1" t="s">
        <v>86</v>
      </c>
      <c r="E28" s="1" t="s">
        <v>165</v>
      </c>
      <c r="F28" s="15">
        <v>39556.319582352902</v>
      </c>
      <c r="G28" s="15">
        <v>0</v>
      </c>
      <c r="H28" s="18" t="s">
        <v>187</v>
      </c>
      <c r="I28" s="15">
        <v>0</v>
      </c>
      <c r="J28" s="18" t="s">
        <v>187</v>
      </c>
      <c r="K28" s="15">
        <v>0</v>
      </c>
      <c r="L28" s="18" t="s">
        <v>187</v>
      </c>
      <c r="M28" s="15">
        <v>0</v>
      </c>
      <c r="N28" s="18" t="s">
        <v>187</v>
      </c>
    </row>
    <row r="29" spans="2:14" x14ac:dyDescent="0.25">
      <c r="B29" s="1" t="s">
        <v>26</v>
      </c>
      <c r="C29" s="1" t="s">
        <v>54</v>
      </c>
      <c r="D29" s="1" t="s">
        <v>88</v>
      </c>
      <c r="E29" s="1" t="s">
        <v>164</v>
      </c>
      <c r="F29" s="15">
        <v>37721.30214</v>
      </c>
      <c r="G29" s="15">
        <v>13621.581328333334</v>
      </c>
      <c r="H29" s="18" t="s">
        <v>206</v>
      </c>
      <c r="I29" s="15">
        <v>12573.767379999999</v>
      </c>
      <c r="J29" s="18" t="s">
        <v>207</v>
      </c>
      <c r="K29" s="15">
        <v>9430.3255349999999</v>
      </c>
      <c r="L29" s="18" t="s">
        <v>208</v>
      </c>
      <c r="M29" s="15">
        <v>0</v>
      </c>
      <c r="N29" s="18" t="s">
        <v>187</v>
      </c>
    </row>
    <row r="30" spans="2:14" x14ac:dyDescent="0.25">
      <c r="B30" s="1" t="s">
        <v>26</v>
      </c>
      <c r="C30" s="1" t="s">
        <v>54</v>
      </c>
      <c r="D30" s="1" t="s">
        <v>88</v>
      </c>
      <c r="E30" s="1" t="s">
        <v>165</v>
      </c>
      <c r="F30" s="15">
        <v>25147.534759999999</v>
      </c>
      <c r="G30" s="15">
        <v>0</v>
      </c>
      <c r="H30" s="18" t="s">
        <v>187</v>
      </c>
      <c r="I30" s="15">
        <v>0</v>
      </c>
      <c r="J30" s="18" t="s">
        <v>187</v>
      </c>
      <c r="K30" s="15">
        <v>0</v>
      </c>
      <c r="L30" s="18" t="s">
        <v>187</v>
      </c>
      <c r="M30" s="15">
        <v>0</v>
      </c>
      <c r="N30" s="18" t="s">
        <v>187</v>
      </c>
    </row>
    <row r="31" spans="2:14" x14ac:dyDescent="0.25">
      <c r="B31" s="1" t="s">
        <v>26</v>
      </c>
      <c r="C31" s="1" t="s">
        <v>54</v>
      </c>
      <c r="D31" s="1" t="s">
        <v>91</v>
      </c>
      <c r="E31" s="1" t="s">
        <v>164</v>
      </c>
      <c r="F31" s="15">
        <v>51218.906666666699</v>
      </c>
      <c r="G31" s="15">
        <v>0</v>
      </c>
      <c r="H31" s="18" t="s">
        <v>187</v>
      </c>
      <c r="I31" s="15">
        <v>0</v>
      </c>
      <c r="J31" s="18" t="s">
        <v>187</v>
      </c>
      <c r="K31" s="15">
        <v>0</v>
      </c>
      <c r="L31" s="18" t="s">
        <v>187</v>
      </c>
      <c r="M31" s="15">
        <v>0</v>
      </c>
      <c r="N31" s="18" t="s">
        <v>187</v>
      </c>
    </row>
    <row r="32" spans="2:14" x14ac:dyDescent="0.25">
      <c r="B32" s="1" t="s">
        <v>26</v>
      </c>
      <c r="C32" s="1" t="s">
        <v>54</v>
      </c>
      <c r="D32" s="1" t="s">
        <v>91</v>
      </c>
      <c r="E32" s="1" t="s">
        <v>165</v>
      </c>
      <c r="F32" s="15">
        <v>25609.453333333298</v>
      </c>
      <c r="G32" s="15">
        <v>0</v>
      </c>
      <c r="H32" s="18" t="s">
        <v>187</v>
      </c>
      <c r="I32" s="15">
        <v>0</v>
      </c>
      <c r="J32" s="18" t="s">
        <v>187</v>
      </c>
      <c r="K32" s="15">
        <v>0</v>
      </c>
      <c r="L32" s="18" t="s">
        <v>187</v>
      </c>
      <c r="M32" s="15">
        <v>0</v>
      </c>
      <c r="N32" s="18" t="s">
        <v>187</v>
      </c>
    </row>
    <row r="33" spans="2:14" x14ac:dyDescent="0.25">
      <c r="B33" s="1" t="s">
        <v>26</v>
      </c>
      <c r="C33" s="1" t="s">
        <v>27</v>
      </c>
      <c r="D33" s="1" t="s">
        <v>28</v>
      </c>
      <c r="E33" s="1" t="s">
        <v>30</v>
      </c>
      <c r="F33" s="15">
        <v>96552.957720588165</v>
      </c>
      <c r="G33" s="15">
        <v>96552.957720588165</v>
      </c>
      <c r="H33" s="18" t="s">
        <v>186</v>
      </c>
      <c r="I33" s="15">
        <v>96552.957720588165</v>
      </c>
      <c r="J33" s="18" t="s">
        <v>186</v>
      </c>
      <c r="K33" s="15">
        <v>96552.957720588165</v>
      </c>
      <c r="L33" s="18" t="s">
        <v>186</v>
      </c>
      <c r="M33" s="15">
        <v>96552.957720588165</v>
      </c>
      <c r="N33" s="18" t="s">
        <v>186</v>
      </c>
    </row>
    <row r="34" spans="2:14" x14ac:dyDescent="0.25">
      <c r="B34" s="1" t="s">
        <v>26</v>
      </c>
      <c r="C34" s="1" t="s">
        <v>27</v>
      </c>
      <c r="D34" s="1" t="s">
        <v>96</v>
      </c>
      <c r="E34" s="1" t="s">
        <v>32</v>
      </c>
      <c r="F34" s="15">
        <v>7161.8114376280319</v>
      </c>
      <c r="G34" s="15">
        <v>7161.8114376280319</v>
      </c>
      <c r="H34" s="18" t="s">
        <v>186</v>
      </c>
      <c r="I34" s="15">
        <v>7161.8114376280319</v>
      </c>
      <c r="J34" s="18" t="s">
        <v>186</v>
      </c>
      <c r="K34" s="15">
        <v>7161.8114376280319</v>
      </c>
      <c r="L34" s="18" t="s">
        <v>186</v>
      </c>
      <c r="M34" s="15">
        <v>7161.8114376280319</v>
      </c>
      <c r="N34" s="18" t="s">
        <v>186</v>
      </c>
    </row>
    <row r="35" spans="2:14" x14ac:dyDescent="0.25">
      <c r="B35" s="1" t="s">
        <v>26</v>
      </c>
      <c r="C35" s="1" t="s">
        <v>27</v>
      </c>
      <c r="D35" s="1" t="s">
        <v>31</v>
      </c>
      <c r="E35" s="1" t="s">
        <v>33</v>
      </c>
      <c r="F35" s="15">
        <v>108361.32088237196</v>
      </c>
      <c r="G35" s="15">
        <v>108361.32088237196</v>
      </c>
      <c r="H35" s="18" t="s">
        <v>186</v>
      </c>
      <c r="I35" s="15">
        <v>108361.32088237196</v>
      </c>
      <c r="J35" s="18" t="s">
        <v>186</v>
      </c>
      <c r="K35" s="15">
        <v>108361.32088237196</v>
      </c>
      <c r="L35" s="18" t="s">
        <v>186</v>
      </c>
      <c r="M35" s="15">
        <v>108361.32088237196</v>
      </c>
      <c r="N35" s="18" t="s">
        <v>186</v>
      </c>
    </row>
    <row r="36" spans="2:14" x14ac:dyDescent="0.25">
      <c r="B36" s="1" t="s">
        <v>26</v>
      </c>
      <c r="C36" s="1" t="s">
        <v>27</v>
      </c>
      <c r="D36" s="1" t="s">
        <v>97</v>
      </c>
      <c r="E36" s="1" t="s">
        <v>35</v>
      </c>
      <c r="F36" s="15">
        <v>28819.23</v>
      </c>
      <c r="G36" s="15">
        <v>28819.23</v>
      </c>
      <c r="H36" s="18" t="s">
        <v>186</v>
      </c>
      <c r="I36" s="15">
        <v>28819.23</v>
      </c>
      <c r="J36" s="18" t="s">
        <v>186</v>
      </c>
      <c r="K36" s="15">
        <v>28819.23</v>
      </c>
      <c r="L36" s="18" t="s">
        <v>186</v>
      </c>
      <c r="M36" s="15">
        <v>28819.23</v>
      </c>
      <c r="N36" s="18" t="s">
        <v>186</v>
      </c>
    </row>
    <row r="37" spans="2:14" x14ac:dyDescent="0.25">
      <c r="B37" s="1" t="s">
        <v>26</v>
      </c>
      <c r="C37" s="1" t="s">
        <v>27</v>
      </c>
      <c r="D37" s="1" t="s">
        <v>34</v>
      </c>
      <c r="E37" s="1" t="s">
        <v>36</v>
      </c>
      <c r="F37" s="15">
        <v>41918.879999999997</v>
      </c>
      <c r="G37" s="15">
        <v>41918.879999999997</v>
      </c>
      <c r="H37" s="18" t="s">
        <v>186</v>
      </c>
      <c r="I37" s="15">
        <v>41918.879999999997</v>
      </c>
      <c r="J37" s="18" t="s">
        <v>186</v>
      </c>
      <c r="K37" s="15">
        <v>41918.879999999997</v>
      </c>
      <c r="L37" s="18" t="s">
        <v>186</v>
      </c>
      <c r="M37" s="15">
        <v>41918.879999999997</v>
      </c>
      <c r="N37" s="18" t="s">
        <v>186</v>
      </c>
    </row>
    <row r="38" spans="2:14" x14ac:dyDescent="0.25">
      <c r="B38" s="1" t="s">
        <v>26</v>
      </c>
      <c r="C38" s="1" t="s">
        <v>27</v>
      </c>
      <c r="D38" s="1" t="s">
        <v>154</v>
      </c>
      <c r="E38" s="1" t="s">
        <v>155</v>
      </c>
      <c r="F38" s="15">
        <v>69664.792279411718</v>
      </c>
      <c r="G38" s="15">
        <v>69664.792279411718</v>
      </c>
      <c r="H38" s="18" t="s">
        <v>186</v>
      </c>
      <c r="I38" s="15">
        <v>69664.792279411718</v>
      </c>
      <c r="J38" s="18" t="s">
        <v>186</v>
      </c>
      <c r="K38" s="15">
        <v>69664.792279411718</v>
      </c>
      <c r="L38" s="18" t="s">
        <v>186</v>
      </c>
      <c r="M38" s="15">
        <v>69664.792279411718</v>
      </c>
      <c r="N38" s="18" t="s">
        <v>186</v>
      </c>
    </row>
    <row r="39" spans="2:14" x14ac:dyDescent="0.25">
      <c r="B39" s="1" t="s">
        <v>26</v>
      </c>
      <c r="C39" s="1" t="s">
        <v>37</v>
      </c>
      <c r="D39" s="1" t="s">
        <v>38</v>
      </c>
      <c r="E39" s="1" t="s">
        <v>30</v>
      </c>
      <c r="F39" s="15">
        <v>202798.24999999991</v>
      </c>
      <c r="G39" s="15">
        <v>202798.24999999991</v>
      </c>
      <c r="H39" s="18" t="s">
        <v>186</v>
      </c>
      <c r="I39" s="15">
        <v>202798.24999999991</v>
      </c>
      <c r="J39" s="18" t="s">
        <v>186</v>
      </c>
      <c r="K39" s="15">
        <v>202798.24999999991</v>
      </c>
      <c r="L39" s="18" t="s">
        <v>186</v>
      </c>
      <c r="M39" s="15">
        <v>202798.24999999991</v>
      </c>
      <c r="N39" s="18" t="s">
        <v>186</v>
      </c>
    </row>
    <row r="40" spans="2:14" x14ac:dyDescent="0.25">
      <c r="B40" s="1" t="s">
        <v>26</v>
      </c>
      <c r="C40" s="1" t="s">
        <v>37</v>
      </c>
      <c r="D40" s="1" t="s">
        <v>98</v>
      </c>
      <c r="E40" s="1" t="s">
        <v>40</v>
      </c>
      <c r="F40" s="15">
        <v>14225.697777777767</v>
      </c>
      <c r="G40" s="15">
        <v>14225.697777777767</v>
      </c>
      <c r="H40" s="18" t="s">
        <v>186</v>
      </c>
      <c r="I40" s="15">
        <v>14225.697777777767</v>
      </c>
      <c r="J40" s="18" t="s">
        <v>186</v>
      </c>
      <c r="K40" s="15">
        <v>14225.697777777767</v>
      </c>
      <c r="L40" s="18" t="s">
        <v>186</v>
      </c>
      <c r="M40" s="15">
        <v>14225.697777777767</v>
      </c>
      <c r="N40" s="18" t="s">
        <v>186</v>
      </c>
    </row>
    <row r="41" spans="2:14" x14ac:dyDescent="0.25">
      <c r="B41" s="1" t="s">
        <v>26</v>
      </c>
      <c r="C41" s="1" t="s">
        <v>37</v>
      </c>
      <c r="D41" s="1" t="s">
        <v>39</v>
      </c>
      <c r="E41" s="1" t="s">
        <v>41</v>
      </c>
      <c r="F41" s="15">
        <v>33786.032222222195</v>
      </c>
      <c r="G41" s="15">
        <v>33786.032222222195</v>
      </c>
      <c r="H41" s="18" t="s">
        <v>186</v>
      </c>
      <c r="I41" s="15">
        <v>33786.032222222195</v>
      </c>
      <c r="J41" s="18" t="s">
        <v>186</v>
      </c>
      <c r="K41" s="15">
        <v>33786.032222222195</v>
      </c>
      <c r="L41" s="18" t="s">
        <v>186</v>
      </c>
      <c r="M41" s="15">
        <v>33786.032222222195</v>
      </c>
      <c r="N41" s="18" t="s">
        <v>186</v>
      </c>
    </row>
    <row r="42" spans="2:14" x14ac:dyDescent="0.25">
      <c r="B42" s="1" t="s">
        <v>26</v>
      </c>
      <c r="C42" s="1" t="s">
        <v>48</v>
      </c>
      <c r="D42" s="1" t="s">
        <v>50</v>
      </c>
      <c r="E42" s="1" t="s">
        <v>30</v>
      </c>
      <c r="F42" s="15">
        <v>197930.57800000015</v>
      </c>
      <c r="G42" s="15">
        <v>197930.57800000015</v>
      </c>
      <c r="H42" s="18" t="s">
        <v>186</v>
      </c>
      <c r="I42" s="15">
        <v>197930.57800000015</v>
      </c>
      <c r="J42" s="18" t="s">
        <v>186</v>
      </c>
      <c r="K42" s="15">
        <v>197930.57800000015</v>
      </c>
      <c r="L42" s="18" t="s">
        <v>186</v>
      </c>
      <c r="M42" s="15">
        <v>197930.57800000015</v>
      </c>
      <c r="N42" s="18" t="s">
        <v>186</v>
      </c>
    </row>
    <row r="43" spans="2:14" x14ac:dyDescent="0.25">
      <c r="B43" s="1" t="s">
        <v>26</v>
      </c>
      <c r="C43" s="1" t="s">
        <v>48</v>
      </c>
      <c r="D43" s="1" t="s">
        <v>99</v>
      </c>
      <c r="E43" s="1" t="s">
        <v>40</v>
      </c>
      <c r="F43" s="15">
        <v>48039.180472087894</v>
      </c>
      <c r="G43" s="15">
        <v>48039.180472087894</v>
      </c>
      <c r="H43" s="18" t="s">
        <v>186</v>
      </c>
      <c r="I43" s="15">
        <v>48039.180472087894</v>
      </c>
      <c r="J43" s="18" t="s">
        <v>186</v>
      </c>
      <c r="K43" s="15">
        <v>48039.180472087894</v>
      </c>
      <c r="L43" s="18" t="s">
        <v>186</v>
      </c>
      <c r="M43" s="15">
        <v>48039.180472087894</v>
      </c>
      <c r="N43" s="18" t="s">
        <v>186</v>
      </c>
    </row>
    <row r="44" spans="2:14" x14ac:dyDescent="0.25">
      <c r="B44" s="1" t="s">
        <v>26</v>
      </c>
      <c r="C44" s="1" t="s">
        <v>48</v>
      </c>
      <c r="D44" s="1" t="s">
        <v>49</v>
      </c>
      <c r="E44" s="1" t="s">
        <v>41</v>
      </c>
      <c r="F44" s="15">
        <v>113870.65000791205</v>
      </c>
      <c r="G44" s="15">
        <v>113870.65000791205</v>
      </c>
      <c r="H44" s="18" t="s">
        <v>186</v>
      </c>
      <c r="I44" s="15">
        <v>113870.65000791205</v>
      </c>
      <c r="J44" s="18" t="s">
        <v>186</v>
      </c>
      <c r="K44" s="15">
        <v>113870.65000791205</v>
      </c>
      <c r="L44" s="18" t="s">
        <v>186</v>
      </c>
      <c r="M44" s="15">
        <v>113870.65000791205</v>
      </c>
      <c r="N44" s="18" t="s">
        <v>186</v>
      </c>
    </row>
    <row r="45" spans="2:14" x14ac:dyDescent="0.25">
      <c r="B45" s="1" t="s">
        <v>26</v>
      </c>
      <c r="C45" s="1" t="s">
        <v>48</v>
      </c>
      <c r="D45" s="1" t="s">
        <v>53</v>
      </c>
      <c r="E45" s="1" t="s">
        <v>30</v>
      </c>
      <c r="F45" s="15">
        <v>38583.482900000025</v>
      </c>
      <c r="G45" s="15">
        <v>38583.482900000025</v>
      </c>
      <c r="H45" s="18" t="s">
        <v>186</v>
      </c>
      <c r="I45" s="15">
        <v>38583.482900000025</v>
      </c>
      <c r="J45" s="18" t="s">
        <v>186</v>
      </c>
      <c r="K45" s="15">
        <v>38583.482900000025</v>
      </c>
      <c r="L45" s="18" t="s">
        <v>186</v>
      </c>
      <c r="M45" s="15">
        <v>38583.482900000025</v>
      </c>
      <c r="N45" s="18" t="s">
        <v>186</v>
      </c>
    </row>
    <row r="46" spans="2:14" x14ac:dyDescent="0.25">
      <c r="B46" s="1" t="s">
        <v>26</v>
      </c>
      <c r="C46" s="1" t="s">
        <v>42</v>
      </c>
      <c r="D46" s="1" t="s">
        <v>43</v>
      </c>
      <c r="E46" s="1" t="s">
        <v>30</v>
      </c>
      <c r="F46" s="15">
        <v>117331.45999999999</v>
      </c>
      <c r="G46" s="15">
        <v>117331.45999999999</v>
      </c>
      <c r="H46" s="18" t="s">
        <v>186</v>
      </c>
      <c r="I46" s="15">
        <v>117331.45999999999</v>
      </c>
      <c r="J46" s="18" t="s">
        <v>186</v>
      </c>
      <c r="K46" s="15">
        <v>117331.45999999999</v>
      </c>
      <c r="L46" s="18" t="s">
        <v>186</v>
      </c>
      <c r="M46" s="15">
        <v>117331.45999999999</v>
      </c>
      <c r="N46" s="18" t="s">
        <v>186</v>
      </c>
    </row>
    <row r="47" spans="2:14" x14ac:dyDescent="0.25">
      <c r="B47" s="1" t="s">
        <v>26</v>
      </c>
      <c r="C47" s="1" t="s">
        <v>42</v>
      </c>
      <c r="D47" s="1" t="s">
        <v>100</v>
      </c>
      <c r="E47" s="1" t="s">
        <v>40</v>
      </c>
      <c r="F47" s="15">
        <v>31371.858461538464</v>
      </c>
      <c r="G47" s="15">
        <v>31371.858461538464</v>
      </c>
      <c r="H47" s="18" t="s">
        <v>186</v>
      </c>
      <c r="I47" s="15">
        <v>31371.858461538464</v>
      </c>
      <c r="J47" s="18" t="s">
        <v>186</v>
      </c>
      <c r="K47" s="15">
        <v>31371.858461538464</v>
      </c>
      <c r="L47" s="18" t="s">
        <v>186</v>
      </c>
      <c r="M47" s="15">
        <v>31371.858461538464</v>
      </c>
      <c r="N47" s="18" t="s">
        <v>186</v>
      </c>
    </row>
    <row r="48" spans="2:14" x14ac:dyDescent="0.25">
      <c r="B48" s="1" t="s">
        <v>26</v>
      </c>
      <c r="C48" s="1" t="s">
        <v>42</v>
      </c>
      <c r="D48" s="1" t="s">
        <v>44</v>
      </c>
      <c r="E48" s="1" t="s">
        <v>41</v>
      </c>
      <c r="F48" s="15">
        <v>53593.591538461544</v>
      </c>
      <c r="G48" s="15">
        <v>53593.591538461544</v>
      </c>
      <c r="H48" s="18" t="s">
        <v>186</v>
      </c>
      <c r="I48" s="15">
        <v>53593.591538461544</v>
      </c>
      <c r="J48" s="18" t="s">
        <v>186</v>
      </c>
      <c r="K48" s="15">
        <v>53593.591538461544</v>
      </c>
      <c r="L48" s="18" t="s">
        <v>186</v>
      </c>
      <c r="M48" s="15">
        <v>53593.591538461544</v>
      </c>
      <c r="N48" s="18" t="s">
        <v>186</v>
      </c>
    </row>
    <row r="49" spans="2:14" x14ac:dyDescent="0.25">
      <c r="B49" s="1" t="s">
        <v>26</v>
      </c>
      <c r="C49" s="1" t="s">
        <v>42</v>
      </c>
      <c r="D49" s="1" t="s">
        <v>156</v>
      </c>
      <c r="E49" s="1" t="s">
        <v>157</v>
      </c>
      <c r="F49" s="15">
        <v>18310.153273878263</v>
      </c>
      <c r="G49" s="15">
        <v>18310.153273878263</v>
      </c>
      <c r="H49" s="18" t="s">
        <v>186</v>
      </c>
      <c r="I49" s="15">
        <v>18310.153273878263</v>
      </c>
      <c r="J49" s="18" t="s">
        <v>186</v>
      </c>
      <c r="K49" s="15">
        <v>18310.153273878263</v>
      </c>
      <c r="L49" s="18" t="s">
        <v>186</v>
      </c>
      <c r="M49" s="15">
        <v>18310.153273878263</v>
      </c>
      <c r="N49" s="18" t="s">
        <v>186</v>
      </c>
    </row>
    <row r="50" spans="2:14" x14ac:dyDescent="0.25">
      <c r="B50" s="1" t="s">
        <v>26</v>
      </c>
      <c r="C50" s="1" t="s">
        <v>42</v>
      </c>
      <c r="D50" s="1" t="s">
        <v>45</v>
      </c>
      <c r="E50" s="1" t="s">
        <v>46</v>
      </c>
      <c r="F50" s="15">
        <v>26811.295865321739</v>
      </c>
      <c r="G50" s="15">
        <v>26811.295865321739</v>
      </c>
      <c r="H50" s="18" t="s">
        <v>186</v>
      </c>
      <c r="I50" s="15">
        <v>26811.295865321739</v>
      </c>
      <c r="J50" s="18" t="s">
        <v>186</v>
      </c>
      <c r="K50" s="15">
        <v>26811.295865321739</v>
      </c>
      <c r="L50" s="18" t="s">
        <v>186</v>
      </c>
      <c r="M50" s="15">
        <v>26811.295865321739</v>
      </c>
      <c r="N50" s="18" t="s">
        <v>186</v>
      </c>
    </row>
    <row r="51" spans="2:14" x14ac:dyDescent="0.25">
      <c r="B51" s="1" t="s">
        <v>26</v>
      </c>
      <c r="C51" s="1" t="s">
        <v>42</v>
      </c>
      <c r="D51" s="1" t="s">
        <v>92</v>
      </c>
      <c r="E51" s="1" t="s">
        <v>30</v>
      </c>
      <c r="F51" s="15">
        <v>19379.126958333338</v>
      </c>
      <c r="G51" s="15">
        <v>19379.126958333338</v>
      </c>
      <c r="H51" s="18" t="s">
        <v>186</v>
      </c>
      <c r="I51" s="15">
        <v>19379.126958333338</v>
      </c>
      <c r="J51" s="18" t="s">
        <v>186</v>
      </c>
      <c r="K51" s="15">
        <v>19379.126958333338</v>
      </c>
      <c r="L51" s="18" t="s">
        <v>186</v>
      </c>
      <c r="M51" s="15">
        <v>19379.126958333338</v>
      </c>
      <c r="N51" s="18" t="s">
        <v>186</v>
      </c>
    </row>
    <row r="52" spans="2:14" x14ac:dyDescent="0.25">
      <c r="B52" s="1" t="s">
        <v>26</v>
      </c>
      <c r="C52" s="1" t="s">
        <v>42</v>
      </c>
      <c r="D52" s="1" t="s">
        <v>158</v>
      </c>
      <c r="E52" s="1" t="s">
        <v>30</v>
      </c>
      <c r="F52" s="15">
        <v>3875.8253916666677</v>
      </c>
      <c r="G52" s="15">
        <v>3875.8253916666677</v>
      </c>
      <c r="H52" s="18" t="s">
        <v>186</v>
      </c>
      <c r="I52" s="15">
        <v>3875.8253916666677</v>
      </c>
      <c r="J52" s="18" t="s">
        <v>186</v>
      </c>
      <c r="K52" s="15">
        <v>3875.8253916666677</v>
      </c>
      <c r="L52" s="18" t="s">
        <v>186</v>
      </c>
      <c r="M52" s="15">
        <v>3875.8253916666677</v>
      </c>
      <c r="N52" s="18" t="s">
        <v>186</v>
      </c>
    </row>
    <row r="53" spans="2:14" x14ac:dyDescent="0.25">
      <c r="B53" s="1" t="s">
        <v>26</v>
      </c>
      <c r="C53" s="1" t="s">
        <v>47</v>
      </c>
      <c r="D53" s="1" t="s">
        <v>47</v>
      </c>
      <c r="E53" s="1" t="s">
        <v>30</v>
      </c>
      <c r="F53" s="15">
        <v>231366.75872000019</v>
      </c>
      <c r="G53" s="15">
        <v>231366.75872000019</v>
      </c>
      <c r="H53" s="18" t="s">
        <v>186</v>
      </c>
      <c r="I53" s="15">
        <v>231366.75872000019</v>
      </c>
      <c r="J53" s="18" t="s">
        <v>186</v>
      </c>
      <c r="K53" s="15">
        <v>231366.75872000019</v>
      </c>
      <c r="L53" s="18" t="s">
        <v>186</v>
      </c>
      <c r="M53" s="15">
        <v>231366.75872000019</v>
      </c>
      <c r="N53" s="18" t="s">
        <v>186</v>
      </c>
    </row>
    <row r="54" spans="2:14" x14ac:dyDescent="0.25">
      <c r="B54" s="1" t="s">
        <v>26</v>
      </c>
      <c r="C54" s="1" t="s">
        <v>51</v>
      </c>
      <c r="D54" s="1" t="s">
        <v>73</v>
      </c>
      <c r="E54" s="1" t="s">
        <v>159</v>
      </c>
      <c r="F54" s="15">
        <v>48467.366153846124</v>
      </c>
      <c r="G54" s="15">
        <v>48467.366153846124</v>
      </c>
      <c r="H54" s="18" t="s">
        <v>186</v>
      </c>
      <c r="I54" s="15">
        <v>48467.366153846124</v>
      </c>
      <c r="J54" s="18" t="s">
        <v>186</v>
      </c>
      <c r="K54" s="15">
        <v>48467.366153846124</v>
      </c>
      <c r="L54" s="18" t="s">
        <v>186</v>
      </c>
      <c r="M54" s="15">
        <v>48467.366153846124</v>
      </c>
      <c r="N54" s="18" t="s">
        <v>186</v>
      </c>
    </row>
    <row r="55" spans="2:14" x14ac:dyDescent="0.25">
      <c r="B55" s="1" t="s">
        <v>26</v>
      </c>
      <c r="C55" s="1" t="s">
        <v>51</v>
      </c>
      <c r="D55" s="1" t="s">
        <v>73</v>
      </c>
      <c r="E55" s="1" t="s">
        <v>160</v>
      </c>
      <c r="F55" s="15">
        <v>37063.279999999977</v>
      </c>
      <c r="G55" s="15">
        <v>25659.19384615383</v>
      </c>
      <c r="H55" s="18" t="s">
        <v>192</v>
      </c>
      <c r="I55" s="15">
        <v>25659.19384615383</v>
      </c>
      <c r="J55" s="18" t="s">
        <v>192</v>
      </c>
      <c r="K55" s="15">
        <v>25659.19384615383</v>
      </c>
      <c r="L55" s="18" t="s">
        <v>192</v>
      </c>
      <c r="M55" s="15">
        <v>0</v>
      </c>
      <c r="N55" s="18" t="s">
        <v>187</v>
      </c>
    </row>
    <row r="56" spans="2:14" x14ac:dyDescent="0.25">
      <c r="B56" s="16" t="s">
        <v>26</v>
      </c>
      <c r="C56" s="16" t="s">
        <v>51</v>
      </c>
      <c r="D56" s="16" t="s">
        <v>73</v>
      </c>
      <c r="E56" s="1" t="s">
        <v>161</v>
      </c>
      <c r="F56" s="15">
        <v>25659.19384615383</v>
      </c>
      <c r="G56" s="15">
        <v>2851.0215384615367</v>
      </c>
      <c r="H56" s="18" t="s">
        <v>251</v>
      </c>
      <c r="I56" s="15">
        <v>2851.0215384615367</v>
      </c>
      <c r="J56" s="18" t="s">
        <v>251</v>
      </c>
      <c r="K56" s="15">
        <v>2851.0215384615367</v>
      </c>
      <c r="L56" s="18" t="s">
        <v>251</v>
      </c>
      <c r="M56" s="15">
        <v>0</v>
      </c>
      <c r="N56" s="18" t="s">
        <v>187</v>
      </c>
    </row>
    <row r="57" spans="2:14" x14ac:dyDescent="0.25">
      <c r="B57" s="16" t="s">
        <v>26</v>
      </c>
      <c r="C57" s="16" t="s">
        <v>51</v>
      </c>
      <c r="D57" s="16" t="s">
        <v>72</v>
      </c>
      <c r="E57" s="1" t="s">
        <v>159</v>
      </c>
      <c r="F57" s="15">
        <v>56297.169999999955</v>
      </c>
      <c r="G57" s="15">
        <v>56297.169999999955</v>
      </c>
      <c r="H57" s="18" t="s">
        <v>186</v>
      </c>
      <c r="I57" s="15">
        <v>56297.169999999955</v>
      </c>
      <c r="J57" s="18" t="s">
        <v>186</v>
      </c>
      <c r="K57" s="15">
        <v>56297.169999999955</v>
      </c>
      <c r="L57" s="18" t="s">
        <v>186</v>
      </c>
      <c r="M57" s="15">
        <v>56297.169999999955</v>
      </c>
      <c r="N57" s="18" t="s">
        <v>186</v>
      </c>
    </row>
    <row r="58" spans="2:14" s="16" customFormat="1" x14ac:dyDescent="0.25">
      <c r="B58" s="1" t="s">
        <v>26</v>
      </c>
      <c r="C58" s="1" t="s">
        <v>51</v>
      </c>
      <c r="D58" s="1" t="s">
        <v>72</v>
      </c>
      <c r="E58" s="1" t="s">
        <v>160</v>
      </c>
      <c r="F58" s="15">
        <v>56297.169999999955</v>
      </c>
      <c r="G58" s="15">
        <v>56297.169999999955</v>
      </c>
      <c r="H58" s="18" t="s">
        <v>186</v>
      </c>
      <c r="I58" s="15">
        <v>56297.169999999955</v>
      </c>
      <c r="J58" s="18" t="s">
        <v>186</v>
      </c>
      <c r="K58" s="15">
        <v>56297.169999999955</v>
      </c>
      <c r="L58" s="18" t="s">
        <v>186</v>
      </c>
      <c r="M58" s="15">
        <v>56297.169999999955</v>
      </c>
      <c r="N58" s="18" t="s">
        <v>186</v>
      </c>
    </row>
    <row r="59" spans="2:14" s="16" customFormat="1" x14ac:dyDescent="0.25">
      <c r="B59" s="1" t="s">
        <v>26</v>
      </c>
      <c r="C59" s="1" t="s">
        <v>51</v>
      </c>
      <c r="D59" s="1" t="s">
        <v>69</v>
      </c>
      <c r="E59" s="1" t="s">
        <v>159</v>
      </c>
      <c r="F59" s="15">
        <v>51802.619999999923</v>
      </c>
      <c r="G59" s="15">
        <v>51802.619999999923</v>
      </c>
      <c r="H59" s="18" t="s">
        <v>186</v>
      </c>
      <c r="I59" s="15">
        <v>51802.619999999923</v>
      </c>
      <c r="J59" s="18" t="s">
        <v>186</v>
      </c>
      <c r="K59" s="15">
        <v>51802.619999999923</v>
      </c>
      <c r="L59" s="18" t="s">
        <v>186</v>
      </c>
      <c r="M59" s="15">
        <v>51802.619999999923</v>
      </c>
      <c r="N59" s="18" t="s">
        <v>186</v>
      </c>
    </row>
    <row r="60" spans="2:14" x14ac:dyDescent="0.25">
      <c r="B60" s="1" t="s">
        <v>26</v>
      </c>
      <c r="C60" s="1" t="s">
        <v>51</v>
      </c>
      <c r="D60" s="1" t="s">
        <v>69</v>
      </c>
      <c r="E60" s="1" t="s">
        <v>160</v>
      </c>
      <c r="F60" s="15">
        <v>51802.619999999923</v>
      </c>
      <c r="G60" s="15">
        <v>51802.619999999923</v>
      </c>
      <c r="H60" s="18" t="s">
        <v>186</v>
      </c>
      <c r="I60" s="15">
        <v>51802.619999999923</v>
      </c>
      <c r="J60" s="18" t="s">
        <v>186</v>
      </c>
      <c r="K60" s="15">
        <v>51802.619999999923</v>
      </c>
      <c r="L60" s="18" t="s">
        <v>186</v>
      </c>
      <c r="M60" s="15">
        <v>51802.619999999923</v>
      </c>
      <c r="N60" s="18" t="s">
        <v>186</v>
      </c>
    </row>
    <row r="61" spans="2:14" x14ac:dyDescent="0.25">
      <c r="B61" s="1" t="s">
        <v>26</v>
      </c>
      <c r="C61" s="1" t="s">
        <v>51</v>
      </c>
      <c r="D61" s="1" t="s">
        <v>68</v>
      </c>
      <c r="E61" s="1" t="s">
        <v>159</v>
      </c>
      <c r="F61" s="15">
        <v>89929.743749999994</v>
      </c>
      <c r="G61" s="15">
        <v>89929.743749999994</v>
      </c>
      <c r="H61" s="18" t="s">
        <v>186</v>
      </c>
      <c r="I61" s="15">
        <v>89929.743749999994</v>
      </c>
      <c r="J61" s="18" t="s">
        <v>186</v>
      </c>
      <c r="K61" s="15">
        <v>89929.743749999994</v>
      </c>
      <c r="L61" s="18" t="s">
        <v>186</v>
      </c>
      <c r="M61" s="15">
        <v>89929.743749999994</v>
      </c>
      <c r="N61" s="18" t="s">
        <v>186</v>
      </c>
    </row>
    <row r="62" spans="2:14" x14ac:dyDescent="0.25">
      <c r="B62" s="1" t="s">
        <v>26</v>
      </c>
      <c r="C62" s="1" t="s">
        <v>51</v>
      </c>
      <c r="D62" s="1" t="s">
        <v>68</v>
      </c>
      <c r="E62" s="1" t="s">
        <v>160</v>
      </c>
      <c r="F62" s="15">
        <v>5995.3162499999999</v>
      </c>
      <c r="G62" s="15">
        <v>5995.3162499999999</v>
      </c>
      <c r="H62" s="18" t="s">
        <v>186</v>
      </c>
      <c r="I62" s="15">
        <v>5995.3162499999999</v>
      </c>
      <c r="J62" s="18" t="s">
        <v>186</v>
      </c>
      <c r="K62" s="15">
        <v>5995.3162499999999</v>
      </c>
      <c r="L62" s="18" t="s">
        <v>186</v>
      </c>
      <c r="M62" s="15">
        <v>5995.3162499999999</v>
      </c>
      <c r="N62" s="18" t="s">
        <v>186</v>
      </c>
    </row>
    <row r="63" spans="2:14" x14ac:dyDescent="0.25">
      <c r="B63" s="1" t="s">
        <v>26</v>
      </c>
      <c r="C63" s="1" t="s">
        <v>51</v>
      </c>
      <c r="D63" s="1" t="s">
        <v>60</v>
      </c>
      <c r="E63" s="1" t="s">
        <v>159</v>
      </c>
      <c r="F63" s="15">
        <v>84125.098536585356</v>
      </c>
      <c r="G63" s="15">
        <v>84125.098536585356</v>
      </c>
      <c r="H63" s="18" t="s">
        <v>186</v>
      </c>
      <c r="I63" s="15">
        <v>84125.098536585356</v>
      </c>
      <c r="J63" s="18" t="s">
        <v>186</v>
      </c>
      <c r="K63" s="15">
        <v>84125.098536585356</v>
      </c>
      <c r="L63" s="18" t="s">
        <v>186</v>
      </c>
      <c r="M63" s="15">
        <v>84125.098536585356</v>
      </c>
      <c r="N63" s="18" t="s">
        <v>186</v>
      </c>
    </row>
    <row r="64" spans="2:14" x14ac:dyDescent="0.25">
      <c r="B64" s="1" t="s">
        <v>26</v>
      </c>
      <c r="C64" s="1" t="s">
        <v>51</v>
      </c>
      <c r="D64" s="1" t="s">
        <v>60</v>
      </c>
      <c r="E64" s="1" t="s">
        <v>160</v>
      </c>
      <c r="F64" s="15">
        <v>11684.041463414633</v>
      </c>
      <c r="G64" s="15">
        <v>11684.041463414633</v>
      </c>
      <c r="H64" s="18" t="s">
        <v>186</v>
      </c>
      <c r="I64" s="15">
        <v>11684.041463414633</v>
      </c>
      <c r="J64" s="18" t="s">
        <v>186</v>
      </c>
      <c r="K64" s="15">
        <v>11684.041463414633</v>
      </c>
      <c r="L64" s="18" t="s">
        <v>186</v>
      </c>
      <c r="M64" s="15">
        <v>11684.041463414633</v>
      </c>
      <c r="N64" s="18" t="s">
        <v>186</v>
      </c>
    </row>
    <row r="65" spans="2:14" x14ac:dyDescent="0.25">
      <c r="B65" s="1" t="s">
        <v>26</v>
      </c>
      <c r="C65" s="1" t="s">
        <v>51</v>
      </c>
      <c r="D65" s="1" t="s">
        <v>57</v>
      </c>
      <c r="E65" s="1" t="s">
        <v>159</v>
      </c>
      <c r="F65" s="15">
        <v>92753.886822227039</v>
      </c>
      <c r="G65" s="15">
        <v>92753.886822227039</v>
      </c>
      <c r="H65" s="18" t="s">
        <v>186</v>
      </c>
      <c r="I65" s="15">
        <v>92753.886822227039</v>
      </c>
      <c r="J65" s="18" t="s">
        <v>186</v>
      </c>
      <c r="K65" s="15">
        <v>92753.886822227039</v>
      </c>
      <c r="L65" s="18" t="s">
        <v>186</v>
      </c>
      <c r="M65" s="15">
        <v>92753.886822227039</v>
      </c>
      <c r="N65" s="18" t="s">
        <v>186</v>
      </c>
    </row>
    <row r="66" spans="2:14" x14ac:dyDescent="0.25">
      <c r="B66" s="1" t="s">
        <v>26</v>
      </c>
      <c r="C66" s="1" t="s">
        <v>51</v>
      </c>
      <c r="D66" s="1" t="s">
        <v>57</v>
      </c>
      <c r="E66" s="1" t="s">
        <v>160</v>
      </c>
      <c r="F66" s="15">
        <v>2576.4968561729734</v>
      </c>
      <c r="G66" s="15">
        <v>2576.4968561729734</v>
      </c>
      <c r="H66" s="18" t="s">
        <v>186</v>
      </c>
      <c r="I66" s="15">
        <v>2576.4968561729734</v>
      </c>
      <c r="J66" s="18" t="s">
        <v>186</v>
      </c>
      <c r="K66" s="15">
        <v>2576.4968561729734</v>
      </c>
      <c r="L66" s="18" t="s">
        <v>186</v>
      </c>
      <c r="M66" s="15">
        <v>2576.4968561729734</v>
      </c>
      <c r="N66" s="18" t="s">
        <v>186</v>
      </c>
    </row>
    <row r="67" spans="2:14" x14ac:dyDescent="0.25">
      <c r="B67" s="1" t="s">
        <v>26</v>
      </c>
      <c r="C67" s="1" t="s">
        <v>51</v>
      </c>
      <c r="D67" s="1" t="s">
        <v>55</v>
      </c>
      <c r="E67" s="1" t="s">
        <v>159</v>
      </c>
      <c r="F67" s="15">
        <v>33687.787500000006</v>
      </c>
      <c r="G67" s="15">
        <v>33687.787500000006</v>
      </c>
      <c r="H67" s="18" t="s">
        <v>186</v>
      </c>
      <c r="I67" s="15">
        <v>33687.787500000006</v>
      </c>
      <c r="J67" s="18" t="s">
        <v>186</v>
      </c>
      <c r="K67" s="15">
        <v>33687.787500000006</v>
      </c>
      <c r="L67" s="18" t="s">
        <v>186</v>
      </c>
      <c r="M67" s="15">
        <v>33687.787500000006</v>
      </c>
      <c r="N67" s="18" t="s">
        <v>186</v>
      </c>
    </row>
    <row r="68" spans="2:14" x14ac:dyDescent="0.25">
      <c r="B68" s="1" t="s">
        <v>26</v>
      </c>
      <c r="C68" s="1" t="s">
        <v>51</v>
      </c>
      <c r="D68" s="1" t="s">
        <v>55</v>
      </c>
      <c r="E68" s="1" t="s">
        <v>160</v>
      </c>
      <c r="F68" s="15">
        <v>1464.6864130434785</v>
      </c>
      <c r="G68" s="15">
        <v>1464.6864130434785</v>
      </c>
      <c r="H68" s="18" t="s">
        <v>186</v>
      </c>
      <c r="I68" s="15">
        <v>1464.6864130434785</v>
      </c>
      <c r="J68" s="18" t="s">
        <v>186</v>
      </c>
      <c r="K68" s="15">
        <v>1464.6864130434785</v>
      </c>
      <c r="L68" s="18" t="s">
        <v>186</v>
      </c>
      <c r="M68" s="15">
        <v>1464.6864130434785</v>
      </c>
      <c r="N68" s="18" t="s">
        <v>186</v>
      </c>
    </row>
    <row r="69" spans="2:14" x14ac:dyDescent="0.25">
      <c r="B69" s="1" t="s">
        <v>26</v>
      </c>
      <c r="C69" s="1" t="s">
        <v>51</v>
      </c>
      <c r="D69" s="1" t="s">
        <v>55</v>
      </c>
      <c r="E69" s="1" t="s">
        <v>162</v>
      </c>
      <c r="F69" s="15">
        <v>99598.676086956533</v>
      </c>
      <c r="G69" s="15">
        <v>99598.676086956533</v>
      </c>
      <c r="H69" s="18" t="s">
        <v>186</v>
      </c>
      <c r="I69" s="15">
        <v>99598.676086956533</v>
      </c>
      <c r="J69" s="18" t="s">
        <v>186</v>
      </c>
      <c r="K69" s="15">
        <v>99598.676086956533</v>
      </c>
      <c r="L69" s="18" t="s">
        <v>186</v>
      </c>
      <c r="M69" s="15">
        <v>99598.676086956533</v>
      </c>
      <c r="N69" s="18" t="s">
        <v>186</v>
      </c>
    </row>
    <row r="70" spans="2:14" x14ac:dyDescent="0.25">
      <c r="B70" s="1" t="s">
        <v>26</v>
      </c>
      <c r="C70" s="1" t="s">
        <v>51</v>
      </c>
      <c r="D70" s="1" t="s">
        <v>52</v>
      </c>
      <c r="E70" s="1" t="s">
        <v>159</v>
      </c>
      <c r="F70" s="15">
        <v>67096.790270270314</v>
      </c>
      <c r="G70" s="15">
        <v>67096.790270270314</v>
      </c>
      <c r="H70" s="18" t="s">
        <v>186</v>
      </c>
      <c r="I70" s="15">
        <v>67096.790270270314</v>
      </c>
      <c r="J70" s="18" t="s">
        <v>186</v>
      </c>
      <c r="K70" s="15">
        <v>67096.790270270314</v>
      </c>
      <c r="L70" s="18" t="s">
        <v>186</v>
      </c>
      <c r="M70" s="15">
        <v>67096.790270270314</v>
      </c>
      <c r="N70" s="18" t="s">
        <v>186</v>
      </c>
    </row>
    <row r="71" spans="2:14" x14ac:dyDescent="0.25">
      <c r="B71" s="1" t="s">
        <v>26</v>
      </c>
      <c r="C71" s="1" t="s">
        <v>51</v>
      </c>
      <c r="D71" s="1" t="s">
        <v>52</v>
      </c>
      <c r="E71" s="1" t="s">
        <v>163</v>
      </c>
      <c r="F71" s="15">
        <v>1863.7997297297309</v>
      </c>
      <c r="G71" s="15">
        <v>1863.7997297297309</v>
      </c>
      <c r="H71" s="18" t="s">
        <v>186</v>
      </c>
      <c r="I71" s="15">
        <v>1863.7997297297309</v>
      </c>
      <c r="J71" s="18" t="s">
        <v>186</v>
      </c>
      <c r="K71" s="15">
        <v>1863.7997297297309</v>
      </c>
      <c r="L71" s="18" t="s">
        <v>186</v>
      </c>
      <c r="M71" s="15">
        <v>1863.7997297297309</v>
      </c>
      <c r="N71" s="18" t="s">
        <v>186</v>
      </c>
    </row>
    <row r="72" spans="2:14" x14ac:dyDescent="0.25">
      <c r="B72" s="139" t="s">
        <v>25</v>
      </c>
      <c r="C72" s="139"/>
      <c r="D72" s="139"/>
      <c r="E72" s="139"/>
      <c r="F72" s="140">
        <f>SUBTOTAL(109,tblProgress2[Weight Project
Peso do Projeto])</f>
        <v>3464647.5084769251</v>
      </c>
      <c r="G72" s="141">
        <f>SUBTOTAL(109,tblProgress2[F. Weight
Peso Aju.])</f>
        <v>2998306.7750283359</v>
      </c>
      <c r="H72" s="142"/>
      <c r="I72" s="141">
        <f>SUBTOTAL(109,tblProgress2[W. Weight
Peso Sold.])</f>
        <v>2971440.7860800023</v>
      </c>
      <c r="J72" s="142"/>
      <c r="K72" s="141">
        <f>SUBTOTAL(109,tblProgress2[NDT Weight
Peso Insp.])</f>
        <v>2946670.4517991049</v>
      </c>
      <c r="L72" s="142"/>
      <c r="M72" s="141">
        <f>SUBTOTAL(109,tblProgress2[Weight
Peso Dim])</f>
        <v>2858196.1954307714</v>
      </c>
      <c r="N72" s="142"/>
    </row>
    <row r="74" spans="2:14" x14ac:dyDescent="0.25">
      <c r="G74" s="15"/>
      <c r="H74" s="15"/>
      <c r="I74" s="15"/>
      <c r="J74" s="15"/>
      <c r="L74" s="15"/>
      <c r="N74" s="15"/>
    </row>
    <row r="75" spans="2:14" x14ac:dyDescent="0.25">
      <c r="J75" s="94"/>
    </row>
    <row r="76" spans="2:14" x14ac:dyDescent="0.25">
      <c r="H76" s="15"/>
    </row>
    <row r="78" spans="2:14" x14ac:dyDescent="0.25">
      <c r="H78" s="15"/>
      <c r="L78" s="15"/>
    </row>
  </sheetData>
  <mergeCells count="11">
    <mergeCell ref="B2:C3"/>
    <mergeCell ref="D2:L3"/>
    <mergeCell ref="M2:O3"/>
    <mergeCell ref="H5:I5"/>
    <mergeCell ref="J5:K5"/>
    <mergeCell ref="M5:O5"/>
    <mergeCell ref="B6:G6"/>
    <mergeCell ref="H6:I6"/>
    <mergeCell ref="J6:K6"/>
    <mergeCell ref="L6:M6"/>
    <mergeCell ref="N6:O6"/>
  </mergeCells>
  <phoneticPr fontId="13" type="noConversion"/>
  <pageMargins left="0.51181102362204722" right="0.51181102362204722" top="0.59055118110236227" bottom="0.98425196850393704" header="0.31496062992125984" footer="0.31496062992125984"/>
  <pageSetup paperSize="9" scale="65" fitToHeight="0" orientation="landscape" r:id="rId1"/>
  <headerFooter>
    <oddHeader>&amp;LISI Engenharia Comércio LTDA&amp;C&amp;D&amp;R&amp;P / &amp;N</oddHeader>
    <oddFooter>&amp;C&amp;G</oddFooter>
  </headerFooter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A53EE-8321-4125-87D4-5669CFC5D107}">
  <sheetPr codeName="Plan4">
    <pageSetUpPr fitToPage="1"/>
  </sheetPr>
  <dimension ref="B1:Q87"/>
  <sheetViews>
    <sheetView showGridLines="0" tabSelected="1" zoomScaleNormal="100" workbookViewId="0">
      <selection activeCell="I41" sqref="I41"/>
    </sheetView>
  </sheetViews>
  <sheetFormatPr defaultColWidth="9.140625" defaultRowHeight="15" x14ac:dyDescent="0.25"/>
  <cols>
    <col min="1" max="1" width="0.5703125" style="1" customWidth="1"/>
    <col min="2" max="2" width="14.85546875" style="1" bestFit="1" customWidth="1"/>
    <col min="3" max="4" width="12.5703125" style="1" bestFit="1" customWidth="1"/>
    <col min="5" max="5" width="16.85546875" style="1" bestFit="1" customWidth="1"/>
    <col min="6" max="6" width="19" style="1" bestFit="1" customWidth="1"/>
    <col min="7" max="7" width="14.140625" style="1" bestFit="1" customWidth="1"/>
    <col min="8" max="8" width="15.5703125" style="1" bestFit="1" customWidth="1"/>
    <col min="9" max="9" width="16.5703125" style="1" customWidth="1"/>
    <col min="10" max="10" width="16.28515625" style="1" bestFit="1" customWidth="1"/>
    <col min="11" max="11" width="20.42578125" style="1" bestFit="1" customWidth="1"/>
    <col min="12" max="12" width="16.28515625" style="1" bestFit="1" customWidth="1"/>
    <col min="13" max="13" width="13.85546875" style="1" bestFit="1" customWidth="1"/>
    <col min="14" max="14" width="17" style="1" bestFit="1" customWidth="1"/>
    <col min="15" max="16" width="9.140625" style="1"/>
    <col min="17" max="17" width="10.140625" style="1" bestFit="1" customWidth="1"/>
    <col min="18" max="16384" width="9.140625" style="1"/>
  </cols>
  <sheetData>
    <row r="1" spans="2:17" ht="3" customHeight="1" thickBot="1" x14ac:dyDescent="0.3">
      <c r="B1" s="3"/>
      <c r="C1" s="3"/>
    </row>
    <row r="2" spans="2:17" ht="3" customHeight="1" x14ac:dyDescent="0.25">
      <c r="B2" s="160"/>
      <c r="C2" s="161"/>
      <c r="D2" s="164" t="s">
        <v>20</v>
      </c>
      <c r="E2" s="165"/>
      <c r="F2" s="165"/>
      <c r="G2" s="165"/>
      <c r="H2" s="165"/>
      <c r="I2" s="165"/>
      <c r="J2" s="165"/>
      <c r="K2" s="166"/>
      <c r="L2" s="164"/>
      <c r="M2" s="165"/>
      <c r="N2" s="166"/>
    </row>
    <row r="3" spans="2:17" ht="56.25" customHeight="1" thickBot="1" x14ac:dyDescent="0.3">
      <c r="B3" s="162"/>
      <c r="C3" s="163"/>
      <c r="D3" s="167"/>
      <c r="E3" s="168"/>
      <c r="F3" s="168"/>
      <c r="G3" s="168"/>
      <c r="H3" s="168"/>
      <c r="I3" s="168"/>
      <c r="J3" s="168"/>
      <c r="K3" s="169"/>
      <c r="L3" s="167"/>
      <c r="M3" s="168"/>
      <c r="N3" s="169"/>
    </row>
    <row r="4" spans="2:17" ht="19.5" customHeight="1" thickBot="1" x14ac:dyDescent="0.3">
      <c r="B4" s="11"/>
      <c r="C4" s="2"/>
      <c r="D4" s="2"/>
      <c r="E4" s="2"/>
      <c r="F4" s="2"/>
      <c r="G4" s="12" t="s">
        <v>0</v>
      </c>
      <c r="H4" s="14">
        <f ca="1">NOW()</f>
        <v>44540.437655439811</v>
      </c>
      <c r="I4" s="2"/>
      <c r="J4" s="2"/>
      <c r="K4" s="2"/>
      <c r="L4" s="2"/>
      <c r="M4" s="2"/>
      <c r="N4" s="13"/>
    </row>
    <row r="5" spans="2:17" ht="28.5" customHeight="1" thickBot="1" x14ac:dyDescent="0.3">
      <c r="B5" s="7" t="s">
        <v>13</v>
      </c>
      <c r="C5" s="8"/>
      <c r="D5" s="9" t="s">
        <v>26</v>
      </c>
      <c r="E5" s="10" t="s">
        <v>14</v>
      </c>
      <c r="F5" s="83" t="s">
        <v>153</v>
      </c>
      <c r="G5" s="170" t="s">
        <v>15</v>
      </c>
      <c r="H5" s="171"/>
      <c r="I5" s="172" t="s">
        <v>152</v>
      </c>
      <c r="J5" s="173"/>
      <c r="K5" s="20" t="s">
        <v>16</v>
      </c>
      <c r="L5" s="174" t="s">
        <v>1</v>
      </c>
      <c r="M5" s="174"/>
      <c r="N5" s="175"/>
    </row>
    <row r="6" spans="2:17" ht="29.25" customHeight="1" thickBot="1" x14ac:dyDescent="0.3">
      <c r="B6" s="152" t="s">
        <v>12</v>
      </c>
      <c r="C6" s="153"/>
      <c r="D6" s="153"/>
      <c r="E6" s="153"/>
      <c r="F6" s="153"/>
      <c r="G6" s="154" t="s">
        <v>23</v>
      </c>
      <c r="H6" s="155"/>
      <c r="I6" s="154" t="s">
        <v>22</v>
      </c>
      <c r="J6" s="156"/>
      <c r="K6" s="157" t="s">
        <v>17</v>
      </c>
      <c r="L6" s="156"/>
      <c r="M6" s="158" t="s">
        <v>24</v>
      </c>
      <c r="N6" s="159"/>
    </row>
    <row r="7" spans="2:17" ht="30.75" thickBot="1" x14ac:dyDescent="0.3">
      <c r="B7" s="4" t="s">
        <v>2</v>
      </c>
      <c r="C7" s="5" t="s">
        <v>3</v>
      </c>
      <c r="D7" s="5" t="s">
        <v>4</v>
      </c>
      <c r="E7" s="143" t="s">
        <v>21</v>
      </c>
      <c r="F7" s="6" t="s">
        <v>5</v>
      </c>
      <c r="G7" s="6" t="s">
        <v>6</v>
      </c>
      <c r="H7" s="6" t="s">
        <v>7</v>
      </c>
      <c r="I7" s="6" t="s">
        <v>8</v>
      </c>
      <c r="J7" s="6" t="s">
        <v>9</v>
      </c>
      <c r="K7" s="6" t="s">
        <v>10</v>
      </c>
      <c r="L7" s="6" t="s">
        <v>11</v>
      </c>
      <c r="M7" s="6" t="s">
        <v>18</v>
      </c>
      <c r="N7" s="6" t="s">
        <v>19</v>
      </c>
    </row>
    <row r="8" spans="2:17" s="16" customFormat="1" x14ac:dyDescent="0.25">
      <c r="B8" s="16" t="s">
        <v>26</v>
      </c>
      <c r="C8" s="16" t="s">
        <v>54</v>
      </c>
      <c r="D8" s="16" t="s">
        <v>82</v>
      </c>
      <c r="E8" s="16" t="s">
        <v>83</v>
      </c>
      <c r="F8" s="15">
        <v>61549.394399999997</v>
      </c>
      <c r="G8" s="17">
        <f>tblProgress23[[#This Row],[Weight Project
Peso do Projeto]]*tblProgress23[[#This Row],[% F. Prog.
Percent. Aju.]]</f>
        <v>61549.394399999997</v>
      </c>
      <c r="H8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8" s="17">
        <f>tblProgress23[[#This Row],[Weight Project
Peso do Projeto]]*tblProgress23[[#This Row],[% W. Prog.
Percent. Sold.]]</f>
        <v>61549.394399999997</v>
      </c>
      <c r="J8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8" s="17">
        <f>tblProgress23[[#This Row],[Weight Project
Peso do Projeto]]*tblProgress23[[#This Row],[% NDT Prog.
Percent. Insp.]]</f>
        <v>61549.394399999997</v>
      </c>
      <c r="L8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8" s="17">
        <f>IF(tblProgress23[[#This Row],[% NDT Prog.
Percent. Insp.]]&lt;1,0,1*tblProgress23[[#This Row],[Weight Project
Peso do Projeto]])</f>
        <v>61549.394399999997</v>
      </c>
      <c r="N8" s="18">
        <f>IF(tblProgress23[[#This Row],[% NDT Prog.
Percent. Insp.]]&lt;1,0,1)</f>
        <v>1</v>
      </c>
    </row>
    <row r="9" spans="2:17" s="16" customFormat="1" x14ac:dyDescent="0.25">
      <c r="B9" s="16" t="s">
        <v>26</v>
      </c>
      <c r="C9" s="16" t="s">
        <v>54</v>
      </c>
      <c r="D9" s="16" t="s">
        <v>84</v>
      </c>
      <c r="E9" s="16" t="s">
        <v>83</v>
      </c>
      <c r="F9" s="15">
        <v>61548.354399999997</v>
      </c>
      <c r="G9" s="17">
        <f>tblProgress23[[#This Row],[Weight Project
Peso do Projeto]]*tblProgress23[[#This Row],[% F. Prog.
Percent. Aju.]]</f>
        <v>61548.354399999997</v>
      </c>
      <c r="H9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9" s="17">
        <f>tblProgress23[[#This Row],[Weight Project
Peso do Projeto]]*tblProgress23[[#This Row],[% W. Prog.
Percent. Sold.]]</f>
        <v>61548.354399999997</v>
      </c>
      <c r="J9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9" s="17">
        <f>tblProgress23[[#This Row],[Weight Project
Peso do Projeto]]*tblProgress23[[#This Row],[% NDT Prog.
Percent. Insp.]]</f>
        <v>61548.354399999997</v>
      </c>
      <c r="L9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9" s="19">
        <f>IF(tblProgress23[[#This Row],[% NDT Prog.
Percent. Insp.]]&lt;1,0,1*tblProgress23[[#This Row],[Weight Project
Peso do Projeto]])</f>
        <v>61548.354399999997</v>
      </c>
      <c r="N9" s="18">
        <f>IF(tblProgress23[[#This Row],[% NDT Prog.
Percent. Insp.]]&lt;1,0,1)</f>
        <v>1</v>
      </c>
      <c r="Q9" s="17"/>
    </row>
    <row r="10" spans="2:17" x14ac:dyDescent="0.25">
      <c r="B10" s="1" t="s">
        <v>26</v>
      </c>
      <c r="C10" s="1" t="s">
        <v>54</v>
      </c>
      <c r="D10" s="1" t="s">
        <v>94</v>
      </c>
      <c r="E10" s="1" t="s">
        <v>101</v>
      </c>
      <c r="F10" s="15">
        <v>58264.87</v>
      </c>
      <c r="G10" s="15">
        <f>tblProgress23[[#This Row],[Weight Project
Peso do Projeto]]*tblProgress23[[#This Row],[% F. Prog.
Percent. Aju.]]</f>
        <v>58264.87</v>
      </c>
      <c r="H10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10" s="15">
        <f>tblProgress23[[#This Row],[Weight Project
Peso do Projeto]]*tblProgress23[[#This Row],[% W. Prog.
Percent. Sold.]]</f>
        <v>58264.87</v>
      </c>
      <c r="J10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10" s="15">
        <f>tblProgress23[[#This Row],[Weight Project
Peso do Projeto]]*tblProgress23[[#This Row],[% NDT Prog.
Percent. Insp.]]</f>
        <v>58264.87</v>
      </c>
      <c r="L10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10" s="15">
        <f>IF(tblProgress23[[#This Row],[% NDT Prog.
Percent. Insp.]]&lt;1,0,1*tblProgress23[[#This Row],[Weight Project
Peso do Projeto]])</f>
        <v>58264.87</v>
      </c>
      <c r="N10" s="18">
        <f>IF(tblProgress23[[#This Row],[% NDT Prog.
Percent. Insp.]]&lt;1,0,1)</f>
        <v>1</v>
      </c>
    </row>
    <row r="11" spans="2:17" x14ac:dyDescent="0.25">
      <c r="B11" s="1" t="s">
        <v>26</v>
      </c>
      <c r="C11" s="1" t="s">
        <v>54</v>
      </c>
      <c r="D11" s="1" t="s">
        <v>94</v>
      </c>
      <c r="E11" s="1" t="s">
        <v>259</v>
      </c>
      <c r="F11" s="15">
        <v>58264.87</v>
      </c>
      <c r="G11" s="15">
        <f>tblProgress23[[#This Row],[Weight Project
Peso do Projeto]]*tblProgress23[[#This Row],[% F. Prog.
Percent. Aju.]]</f>
        <v>58264.87</v>
      </c>
      <c r="H11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11" s="15">
        <f>tblProgress23[[#This Row],[Weight Project
Peso do Projeto]]*tblProgress23[[#This Row],[% W. Prog.
Percent. Sold.]]</f>
        <v>58264.87</v>
      </c>
      <c r="J11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11" s="15">
        <f>tblProgress23[[#This Row],[Weight Project
Peso do Projeto]]*tblProgress23[[#This Row],[% NDT Prog.
Percent. Insp.]]</f>
        <v>58264.87</v>
      </c>
      <c r="L11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11" s="15">
        <f>IF(tblProgress23[[#This Row],[% NDT Prog.
Percent. Insp.]]&lt;1,0,1*tblProgress23[[#This Row],[Weight Project
Peso do Projeto]])</f>
        <v>58264.87</v>
      </c>
      <c r="N11" s="18">
        <f>IF(tblProgress23[[#This Row],[% NDT Prog.
Percent. Insp.]]&lt;1,0,1)</f>
        <v>1</v>
      </c>
    </row>
    <row r="12" spans="2:17" x14ac:dyDescent="0.25">
      <c r="B12" s="1" t="s">
        <v>26</v>
      </c>
      <c r="C12" t="s">
        <v>54</v>
      </c>
      <c r="D12" t="s">
        <v>78</v>
      </c>
      <c r="E12" t="s">
        <v>59</v>
      </c>
      <c r="F12" s="15">
        <v>3632.6453241000008</v>
      </c>
      <c r="G12" s="15">
        <f>tblProgress23[[#This Row],[Weight Project
Peso do Projeto]]*tblProgress23[[#This Row],[% F. Prog.
Percent. Aju.]]</f>
        <v>3632.6453241000008</v>
      </c>
      <c r="H12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12" s="15">
        <f>tblProgress23[[#This Row],[Weight Project
Peso do Projeto]]*tblProgress23[[#This Row],[% W. Prog.
Percent. Sold.]]</f>
        <v>3632.6453241000008</v>
      </c>
      <c r="J12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12" s="15">
        <f>tblProgress23[[#This Row],[Weight Project
Peso do Projeto]]*tblProgress23[[#This Row],[% NDT Prog.
Percent. Insp.]]</f>
        <v>3632.6453241000008</v>
      </c>
      <c r="L12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12" s="144">
        <f>IF(tblProgress23[[#This Row],[% NDT Prog.
Percent. Insp.]]&lt;1,0,1*tblProgress23[[#This Row],[Weight Project
Peso do Projeto]])</f>
        <v>3632.6453241000008</v>
      </c>
      <c r="N12" s="18">
        <f>IF(tblProgress23[[#This Row],[% NDT Prog.
Percent. Insp.]]&lt;1,0,1)</f>
        <v>1</v>
      </c>
    </row>
    <row r="13" spans="2:17" s="16" customFormat="1" x14ac:dyDescent="0.25">
      <c r="B13" s="1" t="s">
        <v>26</v>
      </c>
      <c r="C13" s="1" t="s">
        <v>54</v>
      </c>
      <c r="D13" s="1" t="s">
        <v>79</v>
      </c>
      <c r="E13" s="1" t="s">
        <v>59</v>
      </c>
      <c r="F13" s="15">
        <v>66526.931673225015</v>
      </c>
      <c r="G13" s="15">
        <f>tblProgress23[[#This Row],[Weight Project
Peso do Projeto]]*tblProgress23[[#This Row],[% F. Prog.
Percent. Aju.]]</f>
        <v>66526.931673225015</v>
      </c>
      <c r="H13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13" s="15">
        <f>tblProgress23[[#This Row],[Weight Project
Peso do Projeto]]*tblProgress23[[#This Row],[% W. Prog.
Percent. Sold.]]</f>
        <v>66526.931673225015</v>
      </c>
      <c r="J13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13" s="15">
        <f>tblProgress23[[#This Row],[Weight Project
Peso do Projeto]]*tblProgress23[[#This Row],[% NDT Prog.
Percent. Insp.]]</f>
        <v>66526.931673225015</v>
      </c>
      <c r="L13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13" s="15">
        <f>IF(tblProgress23[[#This Row],[% NDT Prog.
Percent. Insp.]]&lt;1,0,1*tblProgress23[[#This Row],[Weight Project
Peso do Projeto]])</f>
        <v>66526.931673225015</v>
      </c>
      <c r="N13" s="18">
        <f>IF(tblProgress23[[#This Row],[% NDT Prog.
Percent. Insp.]]&lt;1,0,1)</f>
        <v>1</v>
      </c>
    </row>
    <row r="14" spans="2:17" s="16" customFormat="1" x14ac:dyDescent="0.25">
      <c r="B14" s="16" t="s">
        <v>26</v>
      </c>
      <c r="C14" s="16" t="s">
        <v>54</v>
      </c>
      <c r="D14" s="16" t="s">
        <v>80</v>
      </c>
      <c r="E14" s="16" t="s">
        <v>59</v>
      </c>
      <c r="F14" s="15">
        <v>27322.570000000011</v>
      </c>
      <c r="G14" s="15">
        <f>tblProgress23[[#This Row],[Weight Project
Peso do Projeto]]*tblProgress23[[#This Row],[% F. Prog.
Percent. Aju.]]</f>
        <v>27322.570000000011</v>
      </c>
      <c r="H14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14" s="15">
        <f>tblProgress23[[#This Row],[Weight Project
Peso do Projeto]]*tblProgress23[[#This Row],[% W. Prog.
Percent. Sold.]]</f>
        <v>27322.570000000011</v>
      </c>
      <c r="J14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14" s="15">
        <f>tblProgress23[[#This Row],[Weight Project
Peso do Projeto]]*tblProgress23[[#This Row],[% NDT Prog.
Percent. Insp.]]</f>
        <v>27322.570000000011</v>
      </c>
      <c r="L14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14" s="15">
        <f>IF(tblProgress23[[#This Row],[% NDT Prog.
Percent. Insp.]]&lt;1,0,1*tblProgress23[[#This Row],[Weight Project
Peso do Projeto]])</f>
        <v>27322.570000000011</v>
      </c>
      <c r="N14" s="18">
        <f>IF(tblProgress23[[#This Row],[% NDT Prog.
Percent. Insp.]]&lt;1,0,1)</f>
        <v>1</v>
      </c>
    </row>
    <row r="15" spans="2:17" x14ac:dyDescent="0.25">
      <c r="B15" s="16" t="s">
        <v>26</v>
      </c>
      <c r="C15" s="16" t="s">
        <v>54</v>
      </c>
      <c r="D15" s="16" t="s">
        <v>89</v>
      </c>
      <c r="E15" s="16" t="s">
        <v>59</v>
      </c>
      <c r="F15" s="30">
        <v>7738.8999999999978</v>
      </c>
      <c r="G15" s="15">
        <f>tblProgress23[[#This Row],[Weight Project
Peso do Projeto]]*tblProgress23[[#This Row],[% F. Prog.
Percent. Aju.]]</f>
        <v>7738.8999999999978</v>
      </c>
      <c r="H15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15" s="15">
        <f>tblProgress23[[#This Row],[Weight Project
Peso do Projeto]]*tblProgress23[[#This Row],[% W. Prog.
Percent. Sold.]]</f>
        <v>7738.8999999999978</v>
      </c>
      <c r="J15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15" s="15">
        <f>tblProgress23[[#This Row],[Weight Project
Peso do Projeto]]*tblProgress23[[#This Row],[% NDT Prog.
Percent. Insp.]]</f>
        <v>7738.8999999999978</v>
      </c>
      <c r="L15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15" s="15">
        <f>IF(tblProgress23[[#This Row],[% NDT Prog.
Percent. Insp.]]&lt;1,0,1*tblProgress23[[#This Row],[Weight Project
Peso do Projeto]])</f>
        <v>7738.8999999999978</v>
      </c>
      <c r="N15" s="18">
        <f>IF(tblProgress23[[#This Row],[% NDT Prog.
Percent. Insp.]]&lt;1,0,1)</f>
        <v>1</v>
      </c>
      <c r="Q15" s="15"/>
    </row>
    <row r="16" spans="2:17" x14ac:dyDescent="0.25">
      <c r="B16" s="1" t="s">
        <v>26</v>
      </c>
      <c r="C16" s="1" t="s">
        <v>54</v>
      </c>
      <c r="D16" s="1" t="s">
        <v>90</v>
      </c>
      <c r="E16" s="1" t="s">
        <v>59</v>
      </c>
      <c r="F16" s="145">
        <v>13044.529824999992</v>
      </c>
      <c r="G16" s="15">
        <f>tblProgress23[[#This Row],[Weight Project
Peso do Projeto]]*tblProgress23[[#This Row],[% F. Prog.
Percent. Aju.]]</f>
        <v>13044.529824999992</v>
      </c>
      <c r="H16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16" s="15">
        <f>tblProgress23[[#This Row],[Weight Project
Peso do Projeto]]*tblProgress23[[#This Row],[% W. Prog.
Percent. Sold.]]</f>
        <v>13044.529824999992</v>
      </c>
      <c r="J16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16" s="15">
        <f>tblProgress23[[#This Row],[Weight Project
Peso do Projeto]]*tblProgress23[[#This Row],[% NDT Prog.
Percent. Insp.]]</f>
        <v>13044.529824999992</v>
      </c>
      <c r="L16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16" s="15">
        <f>IF(tblProgress23[[#This Row],[% NDT Prog.
Percent. Insp.]]&lt;1,0,1*tblProgress23[[#This Row],[Weight Project
Peso do Projeto]])</f>
        <v>13044.529824999992</v>
      </c>
      <c r="N16" s="18">
        <f>IF(tblProgress23[[#This Row],[% NDT Prog.
Percent. Insp.]]&lt;1,0,1)</f>
        <v>1</v>
      </c>
    </row>
    <row r="17" spans="2:14" x14ac:dyDescent="0.25">
      <c r="B17" s="1" t="s">
        <v>26</v>
      </c>
      <c r="C17" s="1" t="s">
        <v>54</v>
      </c>
      <c r="D17" s="1" t="s">
        <v>87</v>
      </c>
      <c r="E17" s="1" t="s">
        <v>59</v>
      </c>
      <c r="F17" s="15">
        <v>11811.4</v>
      </c>
      <c r="G17" s="15">
        <f>tblProgress23[[#This Row],[Weight Project
Peso do Projeto]]*tblProgress23[[#This Row],[% F. Prog.
Percent. Aju.]]</f>
        <v>11811.4</v>
      </c>
      <c r="H17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17" s="15">
        <f>tblProgress23[[#This Row],[Weight Project
Peso do Projeto]]*tblProgress23[[#This Row],[% W. Prog.
Percent. Sold.]]</f>
        <v>11811.4</v>
      </c>
      <c r="J17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17" s="15">
        <f>tblProgress23[[#This Row],[Weight Project
Peso do Projeto]]*tblProgress23[[#This Row],[% NDT Prog.
Percent. Insp.]]</f>
        <v>11811.4</v>
      </c>
      <c r="L17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17" s="15">
        <f>IF(tblProgress23[[#This Row],[% NDT Prog.
Percent. Insp.]]&lt;1,0,1*tblProgress23[[#This Row],[Weight Project
Peso do Projeto]])</f>
        <v>11811.4</v>
      </c>
      <c r="N17" s="18">
        <f>IF(tblProgress23[[#This Row],[% NDT Prog.
Percent. Insp.]]&lt;1,0,1)</f>
        <v>1</v>
      </c>
    </row>
    <row r="18" spans="2:14" x14ac:dyDescent="0.25">
      <c r="B18" s="1" t="s">
        <v>26</v>
      </c>
      <c r="C18" s="1" t="s">
        <v>54</v>
      </c>
      <c r="D18" s="1" t="s">
        <v>93</v>
      </c>
      <c r="E18" s="1" t="s">
        <v>59</v>
      </c>
      <c r="F18" s="15">
        <v>13649.2</v>
      </c>
      <c r="G18" s="15">
        <f>tblProgress23[[#This Row],[Weight Project
Peso do Projeto]]*tblProgress23[[#This Row],[% F. Prog.
Percent. Aju.]]</f>
        <v>13649.2</v>
      </c>
      <c r="H18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18" s="15">
        <f>tblProgress23[[#This Row],[Weight Project
Peso do Projeto]]*tblProgress23[[#This Row],[% W. Prog.
Percent. Sold.]]</f>
        <v>13649.2</v>
      </c>
      <c r="J18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18" s="15">
        <f>tblProgress23[[#This Row],[Weight Project
Peso do Projeto]]*tblProgress23[[#This Row],[% NDT Prog.
Percent. Insp.]]</f>
        <v>13649.2</v>
      </c>
      <c r="L18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18" s="15">
        <f>IF(tblProgress23[[#This Row],[% NDT Prog.
Percent. Insp.]]&lt;1,0,1*tblProgress23[[#This Row],[Weight Project
Peso do Projeto]])</f>
        <v>13649.2</v>
      </c>
      <c r="N18" s="18">
        <f>IF(tblProgress23[[#This Row],[% NDT Prog.
Percent. Insp.]]&lt;1,0,1)</f>
        <v>1</v>
      </c>
    </row>
    <row r="19" spans="2:14" x14ac:dyDescent="0.25">
      <c r="B19" s="1" t="s">
        <v>26</v>
      </c>
      <c r="C19" s="1" t="s">
        <v>54</v>
      </c>
      <c r="D19" s="1" t="s">
        <v>58</v>
      </c>
      <c r="E19" s="1" t="s">
        <v>59</v>
      </c>
      <c r="F19" s="15">
        <v>18010.695291249998</v>
      </c>
      <c r="G19" s="15">
        <f>tblProgress23[[#This Row],[Weight Project
Peso do Projeto]]*tblProgress23[[#This Row],[% F. Prog.
Percent. Aju.]]</f>
        <v>18010.695291249998</v>
      </c>
      <c r="H19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19" s="15">
        <f>tblProgress23[[#This Row],[Weight Project
Peso do Projeto]]*tblProgress23[[#This Row],[% W. Prog.
Percent. Sold.]]</f>
        <v>18010.695291249998</v>
      </c>
      <c r="J19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19" s="15">
        <f>tblProgress23[[#This Row],[Weight Project
Peso do Projeto]]*tblProgress23[[#This Row],[% NDT Prog.
Percent. Insp.]]</f>
        <v>18010.695291249998</v>
      </c>
      <c r="L19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19" s="15">
        <f>IF(tblProgress23[[#This Row],[% NDT Prog.
Percent. Insp.]]&lt;1,0,1*tblProgress23[[#This Row],[Weight Project
Peso do Projeto]])</f>
        <v>18010.695291249998</v>
      </c>
      <c r="N19" s="18">
        <f>IF(tblProgress23[[#This Row],[% NDT Prog.
Percent. Insp.]]&lt;1,0,1)</f>
        <v>1</v>
      </c>
    </row>
    <row r="20" spans="2:14" x14ac:dyDescent="0.25">
      <c r="B20" s="1" t="s">
        <v>26</v>
      </c>
      <c r="C20" s="1" t="s">
        <v>54</v>
      </c>
      <c r="D20" s="1" t="s">
        <v>77</v>
      </c>
      <c r="E20" s="1" t="s">
        <v>59</v>
      </c>
      <c r="F20" s="15">
        <v>14499.95472485</v>
      </c>
      <c r="G20" s="15">
        <f>tblProgress23[[#This Row],[Weight Project
Peso do Projeto]]*tblProgress23[[#This Row],[% F. Prog.
Percent. Aju.]]</f>
        <v>14499.95472485</v>
      </c>
      <c r="H20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20" s="15">
        <f>tblProgress23[[#This Row],[Weight Project
Peso do Projeto]]*tblProgress23[[#This Row],[% W. Prog.
Percent. Sold.]]</f>
        <v>14499.95472485</v>
      </c>
      <c r="J20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20" s="15">
        <f>tblProgress23[[#This Row],[Weight Project
Peso do Projeto]]*tblProgress23[[#This Row],[% NDT Prog.
Percent. Insp.]]</f>
        <v>14499.95472485</v>
      </c>
      <c r="L20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20" s="15">
        <f>IF(tblProgress23[[#This Row],[% NDT Prog.
Percent. Insp.]]&lt;1,0,1*tblProgress23[[#This Row],[Weight Project
Peso do Projeto]])</f>
        <v>14499.95472485</v>
      </c>
      <c r="N20" s="18">
        <f>IF(tblProgress23[[#This Row],[% NDT Prog.
Percent. Insp.]]&lt;1,0,1)</f>
        <v>1</v>
      </c>
    </row>
    <row r="21" spans="2:14" x14ac:dyDescent="0.25">
      <c r="B21" s="1" t="s">
        <v>26</v>
      </c>
      <c r="C21" s="1" t="s">
        <v>27</v>
      </c>
      <c r="D21" s="1" t="s">
        <v>28</v>
      </c>
      <c r="E21" s="1" t="s">
        <v>30</v>
      </c>
      <c r="F21" s="15">
        <v>96552.957720588165</v>
      </c>
      <c r="G21" s="15">
        <f>tblProgress23[[#This Row],[Weight Project
Peso do Projeto]]*tblProgress23[[#This Row],[% F. Prog.
Percent. Aju.]]</f>
        <v>96552.957720588165</v>
      </c>
      <c r="H21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21" s="15">
        <f>tblProgress23[[#This Row],[Weight Project
Peso do Projeto]]*tblProgress23[[#This Row],[% W. Prog.
Percent. Sold.]]</f>
        <v>96552.957720588165</v>
      </c>
      <c r="J21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21" s="15">
        <f>tblProgress23[[#This Row],[Weight Project
Peso do Projeto]]*tblProgress23[[#This Row],[% NDT Prog.
Percent. Insp.]]</f>
        <v>96552.957720588165</v>
      </c>
      <c r="L21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21" s="15">
        <f>IF(tblProgress23[[#This Row],[% NDT Prog.
Percent. Insp.]]&lt;1,0,1*tblProgress23[[#This Row],[Weight Project
Peso do Projeto]])</f>
        <v>96552.957720588165</v>
      </c>
      <c r="N21" s="18">
        <f>IF(tblProgress23[[#This Row],[% NDT Prog.
Percent. Insp.]]&lt;1,0,1)</f>
        <v>1</v>
      </c>
    </row>
    <row r="22" spans="2:14" x14ac:dyDescent="0.25">
      <c r="B22" s="1" t="s">
        <v>26</v>
      </c>
      <c r="C22" s="1" t="s">
        <v>27</v>
      </c>
      <c r="D22" s="1" t="s">
        <v>96</v>
      </c>
      <c r="E22" s="1" t="s">
        <v>32</v>
      </c>
      <c r="F22" s="15">
        <v>7161.8114376280319</v>
      </c>
      <c r="G22" s="15">
        <f>tblProgress23[[#This Row],[Weight Project
Peso do Projeto]]*tblProgress23[[#This Row],[% F. Prog.
Percent. Aju.]]</f>
        <v>7161.8114376280319</v>
      </c>
      <c r="H22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22" s="15">
        <f>tblProgress23[[#This Row],[Weight Project
Peso do Projeto]]*tblProgress23[[#This Row],[% W. Prog.
Percent. Sold.]]</f>
        <v>7161.8114376280319</v>
      </c>
      <c r="J22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22" s="15">
        <f>tblProgress23[[#This Row],[Weight Project
Peso do Projeto]]*tblProgress23[[#This Row],[% NDT Prog.
Percent. Insp.]]</f>
        <v>7161.8114376280319</v>
      </c>
      <c r="L22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22" s="15">
        <f>IF(tblProgress23[[#This Row],[% NDT Prog.
Percent. Insp.]]&lt;1,0,1*tblProgress23[[#This Row],[Weight Project
Peso do Projeto]])</f>
        <v>7161.8114376280319</v>
      </c>
      <c r="N22" s="18">
        <f>IF(tblProgress23[[#This Row],[% NDT Prog.
Percent. Insp.]]&lt;1,0,1)</f>
        <v>1</v>
      </c>
    </row>
    <row r="23" spans="2:14" x14ac:dyDescent="0.25">
      <c r="B23" s="1" t="s">
        <v>26</v>
      </c>
      <c r="C23" s="1" t="s">
        <v>27</v>
      </c>
      <c r="D23" s="1" t="s">
        <v>31</v>
      </c>
      <c r="E23" s="1" t="s">
        <v>33</v>
      </c>
      <c r="F23" s="15">
        <v>108361.32088237196</v>
      </c>
      <c r="G23" s="15">
        <f>tblProgress23[[#This Row],[Weight Project
Peso do Projeto]]*tblProgress23[[#This Row],[% F. Prog.
Percent. Aju.]]</f>
        <v>108361.32088237196</v>
      </c>
      <c r="H23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23" s="15">
        <f>tblProgress23[[#This Row],[Weight Project
Peso do Projeto]]*tblProgress23[[#This Row],[% W. Prog.
Percent. Sold.]]</f>
        <v>108361.32088237196</v>
      </c>
      <c r="J23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23" s="15">
        <f>tblProgress23[[#This Row],[Weight Project
Peso do Projeto]]*tblProgress23[[#This Row],[% NDT Prog.
Percent. Insp.]]</f>
        <v>108361.32088237196</v>
      </c>
      <c r="L23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23" s="15">
        <f>IF(tblProgress23[[#This Row],[% NDT Prog.
Percent. Insp.]]&lt;1,0,1*tblProgress23[[#This Row],[Weight Project
Peso do Projeto]])</f>
        <v>108361.32088237196</v>
      </c>
      <c r="N23" s="18">
        <f>IF(tblProgress23[[#This Row],[% NDT Prog.
Percent. Insp.]]&lt;1,0,1)</f>
        <v>1</v>
      </c>
    </row>
    <row r="24" spans="2:14" x14ac:dyDescent="0.25">
      <c r="B24" s="1" t="s">
        <v>26</v>
      </c>
      <c r="C24" s="1" t="s">
        <v>27</v>
      </c>
      <c r="D24" s="1" t="s">
        <v>97</v>
      </c>
      <c r="E24" s="1" t="s">
        <v>35</v>
      </c>
      <c r="F24" s="15">
        <v>28819.23</v>
      </c>
      <c r="G24" s="15">
        <f>tblProgress23[[#This Row],[Weight Project
Peso do Projeto]]*tblProgress23[[#This Row],[% F. Prog.
Percent. Aju.]]</f>
        <v>28819.23</v>
      </c>
      <c r="H24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24" s="15">
        <f>tblProgress23[[#This Row],[Weight Project
Peso do Projeto]]*tblProgress23[[#This Row],[% W. Prog.
Percent. Sold.]]</f>
        <v>28819.23</v>
      </c>
      <c r="J24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24" s="15">
        <f>tblProgress23[[#This Row],[Weight Project
Peso do Projeto]]*tblProgress23[[#This Row],[% NDT Prog.
Percent. Insp.]]</f>
        <v>28819.23</v>
      </c>
      <c r="L24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24" s="15">
        <f>IF(tblProgress23[[#This Row],[% NDT Prog.
Percent. Insp.]]&lt;1,0,1*tblProgress23[[#This Row],[Weight Project
Peso do Projeto]])</f>
        <v>28819.23</v>
      </c>
      <c r="N24" s="18">
        <f>IF(tblProgress23[[#This Row],[% NDT Prog.
Percent. Insp.]]&lt;1,0,1)</f>
        <v>1</v>
      </c>
    </row>
    <row r="25" spans="2:14" x14ac:dyDescent="0.25">
      <c r="B25" s="1" t="s">
        <v>26</v>
      </c>
      <c r="C25" s="1" t="s">
        <v>27</v>
      </c>
      <c r="D25" s="1" t="s">
        <v>34</v>
      </c>
      <c r="E25" s="1" t="s">
        <v>36</v>
      </c>
      <c r="F25" s="15">
        <v>41918.879999999997</v>
      </c>
      <c r="G25" s="15">
        <f>tblProgress23[[#This Row],[Weight Project
Peso do Projeto]]*tblProgress23[[#This Row],[% F. Prog.
Percent. Aju.]]</f>
        <v>41918.879999999997</v>
      </c>
      <c r="H25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25" s="15">
        <f>tblProgress23[[#This Row],[Weight Project
Peso do Projeto]]*tblProgress23[[#This Row],[% W. Prog.
Percent. Sold.]]</f>
        <v>41918.879999999997</v>
      </c>
      <c r="J25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25" s="15">
        <f>tblProgress23[[#This Row],[Weight Project
Peso do Projeto]]*tblProgress23[[#This Row],[% NDT Prog.
Percent. Insp.]]</f>
        <v>41918.879999999997</v>
      </c>
      <c r="L25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25" s="15">
        <f>IF(tblProgress23[[#This Row],[% NDT Prog.
Percent. Insp.]]&lt;1,0,1*tblProgress23[[#This Row],[Weight Project
Peso do Projeto]])</f>
        <v>41918.879999999997</v>
      </c>
      <c r="N25" s="18">
        <f>IF(tblProgress23[[#This Row],[% NDT Prog.
Percent. Insp.]]&lt;1,0,1)</f>
        <v>1</v>
      </c>
    </row>
    <row r="26" spans="2:14" x14ac:dyDescent="0.25">
      <c r="B26" s="1" t="s">
        <v>26</v>
      </c>
      <c r="C26" s="1" t="s">
        <v>27</v>
      </c>
      <c r="D26" s="1" t="s">
        <v>154</v>
      </c>
      <c r="E26" s="1" t="s">
        <v>155</v>
      </c>
      <c r="F26" s="15">
        <v>69664.792279411718</v>
      </c>
      <c r="G26" s="15">
        <f>tblProgress23[[#This Row],[Weight Project
Peso do Projeto]]*tblProgress23[[#This Row],[% F. Prog.
Percent. Aju.]]</f>
        <v>69664.792279411718</v>
      </c>
      <c r="H26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26" s="15">
        <f>tblProgress23[[#This Row],[Weight Project
Peso do Projeto]]*tblProgress23[[#This Row],[% W. Prog.
Percent. Sold.]]</f>
        <v>69664.792279411718</v>
      </c>
      <c r="J26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26" s="15">
        <f>tblProgress23[[#This Row],[Weight Project
Peso do Projeto]]*tblProgress23[[#This Row],[% NDT Prog.
Percent. Insp.]]</f>
        <v>69664.792279411718</v>
      </c>
      <c r="L26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26" s="15">
        <f>IF(tblProgress23[[#This Row],[% NDT Prog.
Percent. Insp.]]&lt;1,0,1*tblProgress23[[#This Row],[Weight Project
Peso do Projeto]])</f>
        <v>69664.792279411718</v>
      </c>
      <c r="N26" s="18">
        <f>IF(tblProgress23[[#This Row],[% NDT Prog.
Percent. Insp.]]&lt;1,0,1)</f>
        <v>1</v>
      </c>
    </row>
    <row r="27" spans="2:14" x14ac:dyDescent="0.25">
      <c r="B27" s="1" t="s">
        <v>26</v>
      </c>
      <c r="C27" s="1" t="s">
        <v>37</v>
      </c>
      <c r="D27" s="1" t="s">
        <v>38</v>
      </c>
      <c r="E27" s="1" t="s">
        <v>30</v>
      </c>
      <c r="F27" s="15">
        <v>203068.00229750012</v>
      </c>
      <c r="G27" s="15">
        <f>tblProgress23[[#This Row],[Weight Project
Peso do Projeto]]*tblProgress23[[#This Row],[% F. Prog.
Percent. Aju.]]</f>
        <v>203068.00229750012</v>
      </c>
      <c r="H27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27" s="15">
        <f>tblProgress23[[#This Row],[Weight Project
Peso do Projeto]]*tblProgress23[[#This Row],[% W. Prog.
Percent. Sold.]]</f>
        <v>203068.00229750012</v>
      </c>
      <c r="J27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27" s="15">
        <f>tblProgress23[[#This Row],[Weight Project
Peso do Projeto]]*tblProgress23[[#This Row],[% NDT Prog.
Percent. Insp.]]</f>
        <v>203068.00229750012</v>
      </c>
      <c r="L27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27" s="15">
        <f>IF(tblProgress23[[#This Row],[% NDT Prog.
Percent. Insp.]]&lt;1,0,1*tblProgress23[[#This Row],[Weight Project
Peso do Projeto]])</f>
        <v>203068.00229750012</v>
      </c>
      <c r="N27" s="18">
        <f>IF(tblProgress23[[#This Row],[% NDT Prog.
Percent. Insp.]]&lt;1,0,1)</f>
        <v>1</v>
      </c>
    </row>
    <row r="28" spans="2:14" x14ac:dyDescent="0.25">
      <c r="B28" s="1" t="s">
        <v>26</v>
      </c>
      <c r="C28" s="1" t="s">
        <v>37</v>
      </c>
      <c r="D28" s="1" t="s">
        <v>98</v>
      </c>
      <c r="E28" s="1" t="s">
        <v>40</v>
      </c>
      <c r="F28" s="15">
        <v>14225.697777777767</v>
      </c>
      <c r="G28" s="15">
        <f>tblProgress23[[#This Row],[Weight Project
Peso do Projeto]]*tblProgress23[[#This Row],[% F. Prog.
Percent. Aju.]]</f>
        <v>14225.697777777767</v>
      </c>
      <c r="H28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28" s="15">
        <f>tblProgress23[[#This Row],[Weight Project
Peso do Projeto]]*tblProgress23[[#This Row],[% W. Prog.
Percent. Sold.]]</f>
        <v>14225.697777777767</v>
      </c>
      <c r="J28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28" s="15">
        <f>tblProgress23[[#This Row],[Weight Project
Peso do Projeto]]*tblProgress23[[#This Row],[% NDT Prog.
Percent. Insp.]]</f>
        <v>14225.697777777767</v>
      </c>
      <c r="L28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28" s="15">
        <f>IF(tblProgress23[[#This Row],[% NDT Prog.
Percent. Insp.]]&lt;1,0,1*tblProgress23[[#This Row],[Weight Project
Peso do Projeto]])</f>
        <v>14225.697777777767</v>
      </c>
      <c r="N28" s="18">
        <f>IF(tblProgress23[[#This Row],[% NDT Prog.
Percent. Insp.]]&lt;1,0,1)</f>
        <v>1</v>
      </c>
    </row>
    <row r="29" spans="2:14" x14ac:dyDescent="0.25">
      <c r="B29" s="1" t="s">
        <v>26</v>
      </c>
      <c r="C29" s="1" t="s">
        <v>37</v>
      </c>
      <c r="D29" s="1" t="s">
        <v>39</v>
      </c>
      <c r="E29" s="1" t="s">
        <v>41</v>
      </c>
      <c r="F29" s="15">
        <v>33786.032222222195</v>
      </c>
      <c r="G29" s="15">
        <f>tblProgress23[[#This Row],[Weight Project
Peso do Projeto]]*tblProgress23[[#This Row],[% F. Prog.
Percent. Aju.]]</f>
        <v>33786.032222222195</v>
      </c>
      <c r="H29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29" s="15">
        <f>tblProgress23[[#This Row],[Weight Project
Peso do Projeto]]*tblProgress23[[#This Row],[% W. Prog.
Percent. Sold.]]</f>
        <v>33786.032222222195</v>
      </c>
      <c r="J29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29" s="15">
        <f>tblProgress23[[#This Row],[Weight Project
Peso do Projeto]]*tblProgress23[[#This Row],[% NDT Prog.
Percent. Insp.]]</f>
        <v>33786.032222222195</v>
      </c>
      <c r="L29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29" s="15">
        <f>IF(tblProgress23[[#This Row],[% NDT Prog.
Percent. Insp.]]&lt;1,0,1*tblProgress23[[#This Row],[Weight Project
Peso do Projeto]])</f>
        <v>33786.032222222195</v>
      </c>
      <c r="N29" s="18">
        <f>IF(tblProgress23[[#This Row],[% NDT Prog.
Percent. Insp.]]&lt;1,0,1)</f>
        <v>1</v>
      </c>
    </row>
    <row r="30" spans="2:14" x14ac:dyDescent="0.25">
      <c r="B30" s="1" t="s">
        <v>26</v>
      </c>
      <c r="C30" s="1" t="s">
        <v>48</v>
      </c>
      <c r="D30" s="1" t="s">
        <v>50</v>
      </c>
      <c r="E30" s="1" t="s">
        <v>30</v>
      </c>
      <c r="F30" s="15">
        <v>197930.57800000015</v>
      </c>
      <c r="G30" s="15">
        <f>tblProgress23[[#This Row],[Weight Project
Peso do Projeto]]*tblProgress23[[#This Row],[% F. Prog.
Percent. Aju.]]</f>
        <v>197930.57800000015</v>
      </c>
      <c r="H30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30" s="15">
        <f>tblProgress23[[#This Row],[Weight Project
Peso do Projeto]]*tblProgress23[[#This Row],[% W. Prog.
Percent. Sold.]]</f>
        <v>197930.57800000015</v>
      </c>
      <c r="J30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30" s="15">
        <f>tblProgress23[[#This Row],[Weight Project
Peso do Projeto]]*tblProgress23[[#This Row],[% NDT Prog.
Percent. Insp.]]</f>
        <v>197930.57800000015</v>
      </c>
      <c r="L30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30" s="15">
        <f>IF(tblProgress23[[#This Row],[% NDT Prog.
Percent. Insp.]]&lt;1,0,1*tblProgress23[[#This Row],[Weight Project
Peso do Projeto]])</f>
        <v>197930.57800000015</v>
      </c>
      <c r="N30" s="18">
        <f>IF(tblProgress23[[#This Row],[% NDT Prog.
Percent. Insp.]]&lt;1,0,1)</f>
        <v>1</v>
      </c>
    </row>
    <row r="31" spans="2:14" x14ac:dyDescent="0.25">
      <c r="B31" s="1" t="s">
        <v>26</v>
      </c>
      <c r="C31" s="1" t="s">
        <v>48</v>
      </c>
      <c r="D31" s="1" t="s">
        <v>99</v>
      </c>
      <c r="E31" s="1" t="s">
        <v>40</v>
      </c>
      <c r="F31" s="15">
        <v>48159.360472088003</v>
      </c>
      <c r="G31" s="15">
        <f>tblProgress23[[#This Row],[Weight Project
Peso do Projeto]]*tblProgress23[[#This Row],[% F. Prog.
Percent. Aju.]]</f>
        <v>48159.360472088003</v>
      </c>
      <c r="H31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31" s="15">
        <f>tblProgress23[[#This Row],[Weight Project
Peso do Projeto]]*tblProgress23[[#This Row],[% W. Prog.
Percent. Sold.]]</f>
        <v>48159.360472088003</v>
      </c>
      <c r="J31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31" s="15">
        <f>tblProgress23[[#This Row],[Weight Project
Peso do Projeto]]*tblProgress23[[#This Row],[% NDT Prog.
Percent. Insp.]]</f>
        <v>48159.360472088003</v>
      </c>
      <c r="L31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31" s="15">
        <f>IF(tblProgress23[[#This Row],[% NDT Prog.
Percent. Insp.]]&lt;1,0,1*tblProgress23[[#This Row],[Weight Project
Peso do Projeto]])</f>
        <v>48159.360472088003</v>
      </c>
      <c r="N31" s="18">
        <f>IF(tblProgress23[[#This Row],[% NDT Prog.
Percent. Insp.]]&lt;1,0,1)</f>
        <v>1</v>
      </c>
    </row>
    <row r="32" spans="2:14" x14ac:dyDescent="0.25">
      <c r="B32" s="1" t="s">
        <v>26</v>
      </c>
      <c r="C32" s="1" t="s">
        <v>48</v>
      </c>
      <c r="D32" s="1" t="s">
        <v>49</v>
      </c>
      <c r="E32" s="1" t="s">
        <v>41</v>
      </c>
      <c r="F32" s="15">
        <v>113870.65000791205</v>
      </c>
      <c r="G32" s="15">
        <f>tblProgress23[[#This Row],[Weight Project
Peso do Projeto]]*tblProgress23[[#This Row],[% F. Prog.
Percent. Aju.]]</f>
        <v>113870.65000791205</v>
      </c>
      <c r="H32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32" s="15">
        <f>tblProgress23[[#This Row],[Weight Project
Peso do Projeto]]*tblProgress23[[#This Row],[% W. Prog.
Percent. Sold.]]</f>
        <v>113870.65000791205</v>
      </c>
      <c r="J32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32" s="15">
        <f>tblProgress23[[#This Row],[Weight Project
Peso do Projeto]]*tblProgress23[[#This Row],[% NDT Prog.
Percent. Insp.]]</f>
        <v>113870.65000791205</v>
      </c>
      <c r="L32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32" s="15">
        <f>IF(tblProgress23[[#This Row],[% NDT Prog.
Percent. Insp.]]&lt;1,0,1*tblProgress23[[#This Row],[Weight Project
Peso do Projeto]])</f>
        <v>113870.65000791205</v>
      </c>
      <c r="N32" s="18">
        <f>IF(tblProgress23[[#This Row],[% NDT Prog.
Percent. Insp.]]&lt;1,0,1)</f>
        <v>1</v>
      </c>
    </row>
    <row r="33" spans="2:14" x14ac:dyDescent="0.25">
      <c r="B33" s="1" t="s">
        <v>26</v>
      </c>
      <c r="C33" s="1" t="s">
        <v>48</v>
      </c>
      <c r="D33" s="1" t="s">
        <v>53</v>
      </c>
      <c r="E33" s="1" t="s">
        <v>30</v>
      </c>
      <c r="F33" s="15">
        <v>38583.482900000025</v>
      </c>
      <c r="G33" s="15">
        <f>tblProgress23[[#This Row],[Weight Project
Peso do Projeto]]*tblProgress23[[#This Row],[% F. Prog.
Percent. Aju.]]</f>
        <v>38583.482900000025</v>
      </c>
      <c r="H33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33" s="15">
        <f>tblProgress23[[#This Row],[Weight Project
Peso do Projeto]]*tblProgress23[[#This Row],[% W. Prog.
Percent. Sold.]]</f>
        <v>38583.482900000025</v>
      </c>
      <c r="J33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33" s="15">
        <f>tblProgress23[[#This Row],[Weight Project
Peso do Projeto]]*tblProgress23[[#This Row],[% NDT Prog.
Percent. Insp.]]</f>
        <v>38583.482900000025</v>
      </c>
      <c r="L33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33" s="15">
        <f>IF(tblProgress23[[#This Row],[% NDT Prog.
Percent. Insp.]]&lt;1,0,1*tblProgress23[[#This Row],[Weight Project
Peso do Projeto]])</f>
        <v>38583.482900000025</v>
      </c>
      <c r="N33" s="18">
        <f>IF(tblProgress23[[#This Row],[% NDT Prog.
Percent. Insp.]]&lt;1,0,1)</f>
        <v>1</v>
      </c>
    </row>
    <row r="34" spans="2:14" x14ac:dyDescent="0.25">
      <c r="B34" s="1" t="s">
        <v>26</v>
      </c>
      <c r="C34" s="1" t="s">
        <v>42</v>
      </c>
      <c r="D34" s="1" t="s">
        <v>43</v>
      </c>
      <c r="E34" s="1" t="s">
        <v>30</v>
      </c>
      <c r="F34" s="147">
        <v>117331.45999999999</v>
      </c>
      <c r="G34" s="147">
        <v>117331.45999999999</v>
      </c>
      <c r="H34" s="146">
        <v>1</v>
      </c>
      <c r="I34" s="147">
        <v>117331.45999999999</v>
      </c>
      <c r="J34" s="18">
        <v>1</v>
      </c>
      <c r="K34" s="147">
        <v>117331.45999999999</v>
      </c>
      <c r="L34" s="18">
        <v>1</v>
      </c>
      <c r="M34" s="147">
        <v>117331.45999999999</v>
      </c>
      <c r="N34" s="148" t="s">
        <v>186</v>
      </c>
    </row>
    <row r="35" spans="2:14" x14ac:dyDescent="0.25">
      <c r="B35" s="1" t="s">
        <v>26</v>
      </c>
      <c r="C35" s="1" t="s">
        <v>42</v>
      </c>
      <c r="D35" s="1" t="s">
        <v>100</v>
      </c>
      <c r="E35" s="1" t="s">
        <v>40</v>
      </c>
      <c r="F35" s="15">
        <v>31452.398461538458</v>
      </c>
      <c r="G35" s="15">
        <f>tblProgress23[[#This Row],[Weight Project
Peso do Projeto]]*tblProgress23[[#This Row],[% F. Prog.
Percent. Aju.]]</f>
        <v>31452.398461538458</v>
      </c>
      <c r="H35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35" s="15">
        <f>tblProgress23[[#This Row],[Weight Project
Peso do Projeto]]*tblProgress23[[#This Row],[% W. Prog.
Percent. Sold.]]</f>
        <v>31452.398461538458</v>
      </c>
      <c r="J35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35" s="15">
        <f>tblProgress23[[#This Row],[Weight Project
Peso do Projeto]]*tblProgress23[[#This Row],[% NDT Prog.
Percent. Insp.]]</f>
        <v>31452.398461538458</v>
      </c>
      <c r="L35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35" s="15">
        <f>IF(tblProgress23[[#This Row],[% NDT Prog.
Percent. Insp.]]&lt;1,0,1*tblProgress23[[#This Row],[Weight Project
Peso do Projeto]])</f>
        <v>31452.398461538458</v>
      </c>
      <c r="N35" s="18">
        <f>IF(tblProgress23[[#This Row],[% NDT Prog.
Percent. Insp.]]&lt;1,0,1)</f>
        <v>1</v>
      </c>
    </row>
    <row r="36" spans="2:14" x14ac:dyDescent="0.25">
      <c r="B36" s="1" t="s">
        <v>26</v>
      </c>
      <c r="C36" s="1" t="s">
        <v>42</v>
      </c>
      <c r="D36" s="1" t="s">
        <v>44</v>
      </c>
      <c r="E36" s="1" t="s">
        <v>41</v>
      </c>
      <c r="F36" s="15">
        <v>53593.591538461544</v>
      </c>
      <c r="G36" s="15">
        <f>tblProgress23[[#This Row],[Weight Project
Peso do Projeto]]*tblProgress23[[#This Row],[% F. Prog.
Percent. Aju.]]</f>
        <v>53593.591538461544</v>
      </c>
      <c r="H36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36" s="15">
        <f>tblProgress23[[#This Row],[Weight Project
Peso do Projeto]]*tblProgress23[[#This Row],[% W. Prog.
Percent. Sold.]]</f>
        <v>53593.591538461544</v>
      </c>
      <c r="J36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36" s="15">
        <f>tblProgress23[[#This Row],[Weight Project
Peso do Projeto]]*tblProgress23[[#This Row],[% NDT Prog.
Percent. Insp.]]</f>
        <v>53593.591538461544</v>
      </c>
      <c r="L36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36" s="15">
        <f>IF(tblProgress23[[#This Row],[% NDT Prog.
Percent. Insp.]]&lt;1,0,1*tblProgress23[[#This Row],[Weight Project
Peso do Projeto]])</f>
        <v>53593.591538461544</v>
      </c>
      <c r="N36" s="18">
        <f>IF(tblProgress23[[#This Row],[% NDT Prog.
Percent. Insp.]]&lt;1,0,1)</f>
        <v>1</v>
      </c>
    </row>
    <row r="37" spans="2:14" x14ac:dyDescent="0.25">
      <c r="B37" s="1" t="s">
        <v>26</v>
      </c>
      <c r="C37" s="1" t="s">
        <v>42</v>
      </c>
      <c r="D37" s="1" t="s">
        <v>156</v>
      </c>
      <c r="E37" s="1" t="s">
        <v>157</v>
      </c>
      <c r="F37" s="15">
        <v>18310.153273878263</v>
      </c>
      <c r="G37" s="15">
        <f>tblProgress23[[#This Row],[Weight Project
Peso do Projeto]]*tblProgress23[[#This Row],[% F. Prog.
Percent. Aju.]]</f>
        <v>18310.153273878263</v>
      </c>
      <c r="H37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37" s="15">
        <f>tblProgress23[[#This Row],[Weight Project
Peso do Projeto]]*tblProgress23[[#This Row],[% W. Prog.
Percent. Sold.]]</f>
        <v>18310.153273878263</v>
      </c>
      <c r="J37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37" s="15">
        <f>tblProgress23[[#This Row],[Weight Project
Peso do Projeto]]*tblProgress23[[#This Row],[% NDT Prog.
Percent. Insp.]]</f>
        <v>18310.153273878263</v>
      </c>
      <c r="L37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37" s="15">
        <f>IF(tblProgress23[[#This Row],[% NDT Prog.
Percent. Insp.]]&lt;1,0,1*tblProgress23[[#This Row],[Weight Project
Peso do Projeto]])</f>
        <v>18310.153273878263</v>
      </c>
      <c r="N37" s="18">
        <f>IF(tblProgress23[[#This Row],[% NDT Prog.
Percent. Insp.]]&lt;1,0,1)</f>
        <v>1</v>
      </c>
    </row>
    <row r="38" spans="2:14" x14ac:dyDescent="0.25">
      <c r="B38" s="1" t="s">
        <v>26</v>
      </c>
      <c r="C38" s="1" t="s">
        <v>42</v>
      </c>
      <c r="D38" s="1" t="s">
        <v>45</v>
      </c>
      <c r="E38" s="1" t="s">
        <v>46</v>
      </c>
      <c r="F38" s="15">
        <v>26811.295865321739</v>
      </c>
      <c r="G38" s="15">
        <f>tblProgress23[[#This Row],[Weight Project
Peso do Projeto]]*tblProgress23[[#This Row],[% F. Prog.
Percent. Aju.]]</f>
        <v>26811.295865321739</v>
      </c>
      <c r="H38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38" s="15">
        <f>tblProgress23[[#This Row],[Weight Project
Peso do Projeto]]*tblProgress23[[#This Row],[% W. Prog.
Percent. Sold.]]</f>
        <v>26811.295865321739</v>
      </c>
      <c r="J38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38" s="15">
        <f>tblProgress23[[#This Row],[Weight Project
Peso do Projeto]]*tblProgress23[[#This Row],[% NDT Prog.
Percent. Insp.]]</f>
        <v>26811.295865321739</v>
      </c>
      <c r="L38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38" s="15">
        <f>IF(tblProgress23[[#This Row],[% NDT Prog.
Percent. Insp.]]&lt;1,0,1*tblProgress23[[#This Row],[Weight Project
Peso do Projeto]])</f>
        <v>26811.295865321739</v>
      </c>
      <c r="N38" s="18">
        <f>IF(tblProgress23[[#This Row],[% NDT Prog.
Percent. Insp.]]&lt;1,0,1)</f>
        <v>1</v>
      </c>
    </row>
    <row r="39" spans="2:14" x14ac:dyDescent="0.25">
      <c r="B39" s="1" t="s">
        <v>26</v>
      </c>
      <c r="C39" s="1" t="s">
        <v>42</v>
      </c>
      <c r="D39" s="1" t="s">
        <v>92</v>
      </c>
      <c r="E39" s="1" t="s">
        <v>30</v>
      </c>
      <c r="F39" s="15">
        <v>19379.126958333338</v>
      </c>
      <c r="G39" s="15">
        <f>tblProgress23[[#This Row],[Weight Project
Peso do Projeto]]*tblProgress23[[#This Row],[% F. Prog.
Percent. Aju.]]</f>
        <v>19379.126958333338</v>
      </c>
      <c r="H39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39" s="15">
        <f>tblProgress23[[#This Row],[Weight Project
Peso do Projeto]]*tblProgress23[[#This Row],[% W. Prog.
Percent. Sold.]]</f>
        <v>19379.126958333338</v>
      </c>
      <c r="J39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39" s="15">
        <f>tblProgress23[[#This Row],[Weight Project
Peso do Projeto]]*tblProgress23[[#This Row],[% NDT Prog.
Percent. Insp.]]</f>
        <v>19379.126958333338</v>
      </c>
      <c r="L39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39" s="15">
        <f>IF(tblProgress23[[#This Row],[% NDT Prog.
Percent. Insp.]]&lt;1,0,1*tblProgress23[[#This Row],[Weight Project
Peso do Projeto]])</f>
        <v>19379.126958333338</v>
      </c>
      <c r="N39" s="18">
        <f>IF(tblProgress23[[#This Row],[% NDT Prog.
Percent. Insp.]]&lt;1,0,1)</f>
        <v>1</v>
      </c>
    </row>
    <row r="40" spans="2:14" x14ac:dyDescent="0.25">
      <c r="B40" s="1" t="s">
        <v>26</v>
      </c>
      <c r="C40" s="1" t="s">
        <v>42</v>
      </c>
      <c r="D40" s="1" t="s">
        <v>158</v>
      </c>
      <c r="E40" s="1" t="s">
        <v>30</v>
      </c>
      <c r="F40" s="15">
        <v>3875.8253916666677</v>
      </c>
      <c r="G40" s="15">
        <f>tblProgress23[[#This Row],[Weight Project
Peso do Projeto]]*tblProgress23[[#This Row],[% F. Prog.
Percent. Aju.]]</f>
        <v>3875.8253916666677</v>
      </c>
      <c r="H40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40" s="15">
        <f>tblProgress23[[#This Row],[Weight Project
Peso do Projeto]]*tblProgress23[[#This Row],[% W. Prog.
Percent. Sold.]]</f>
        <v>3875.8253916666677</v>
      </c>
      <c r="J40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40" s="15">
        <f>tblProgress23[[#This Row],[Weight Project
Peso do Projeto]]*tblProgress23[[#This Row],[% NDT Prog.
Percent. Insp.]]</f>
        <v>3875.8253916666677</v>
      </c>
      <c r="L40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40" s="15">
        <f>IF(tblProgress23[[#This Row],[% NDT Prog.
Percent. Insp.]]&lt;1,0,1*tblProgress23[[#This Row],[Weight Project
Peso do Projeto]])</f>
        <v>3875.8253916666677</v>
      </c>
      <c r="N40" s="18">
        <f>IF(tblProgress23[[#This Row],[% NDT Prog.
Percent. Insp.]]&lt;1,0,1)</f>
        <v>1</v>
      </c>
    </row>
    <row r="41" spans="2:14" x14ac:dyDescent="0.25">
      <c r="B41" s="1" t="s">
        <v>26</v>
      </c>
      <c r="C41" s="1" t="s">
        <v>47</v>
      </c>
      <c r="D41" s="1" t="s">
        <v>47</v>
      </c>
      <c r="E41" s="1" t="s">
        <v>30</v>
      </c>
      <c r="F41" s="15">
        <v>231366.75872000019</v>
      </c>
      <c r="G41" s="15">
        <f>tblProgress23[[#This Row],[Weight Project
Peso do Projeto]]*tblProgress23[[#This Row],[% F. Prog.
Percent. Aju.]]</f>
        <v>231366.75872000019</v>
      </c>
      <c r="H41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41" s="15">
        <f>tblProgress23[[#This Row],[Weight Project
Peso do Projeto]]*tblProgress23[[#This Row],[% W. Prog.
Percent. Sold.]]</f>
        <v>231366.75872000019</v>
      </c>
      <c r="J41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41" s="15">
        <f>tblProgress23[[#This Row],[Weight Project
Peso do Projeto]]*tblProgress23[[#This Row],[% NDT Prog.
Percent. Insp.]]</f>
        <v>231366.75872000019</v>
      </c>
      <c r="L41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41" s="15">
        <f>IF(tblProgress23[[#This Row],[% NDT Prog.
Percent. Insp.]]&lt;1,0,1*tblProgress23[[#This Row],[Weight Project
Peso do Projeto]])</f>
        <v>231366.75872000019</v>
      </c>
      <c r="N41" s="18">
        <f>IF(tblProgress23[[#This Row],[% NDT Prog.
Percent. Insp.]]&lt;1,0,1)</f>
        <v>1</v>
      </c>
    </row>
    <row r="42" spans="2:14" x14ac:dyDescent="0.25">
      <c r="B42" s="1" t="s">
        <v>26</v>
      </c>
      <c r="C42" s="1" t="s">
        <v>51</v>
      </c>
      <c r="D42" s="1" t="s">
        <v>73</v>
      </c>
      <c r="E42" s="1" t="s">
        <v>159</v>
      </c>
      <c r="F42" s="15">
        <v>48467.366153846124</v>
      </c>
      <c r="G42" s="15">
        <f>tblProgress23[[#This Row],[Weight Project
Peso do Projeto]]*tblProgress23[[#This Row],[% F. Prog.
Percent. Aju.]]</f>
        <v>48467.366153846124</v>
      </c>
      <c r="H42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42" s="15">
        <f>tblProgress23[[#This Row],[Weight Project
Peso do Projeto]]*tblProgress23[[#This Row],[% W. Prog.
Percent. Sold.]]</f>
        <v>48467.366153846124</v>
      </c>
      <c r="J42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42" s="15">
        <f>tblProgress23[[#This Row],[Weight Project
Peso do Projeto]]*tblProgress23[[#This Row],[% NDT Prog.
Percent. Insp.]]</f>
        <v>48467.366153846124</v>
      </c>
      <c r="L42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42" s="15">
        <f>IF(tblProgress23[[#This Row],[% NDT Prog.
Percent. Insp.]]&lt;1,0,1*tblProgress23[[#This Row],[Weight Project
Peso do Projeto]])</f>
        <v>48467.366153846124</v>
      </c>
      <c r="N42" s="18">
        <f>IF(tblProgress23[[#This Row],[% NDT Prog.
Percent. Insp.]]&lt;1,0,1)</f>
        <v>1</v>
      </c>
    </row>
    <row r="43" spans="2:14" x14ac:dyDescent="0.25">
      <c r="B43" s="1" t="s">
        <v>26</v>
      </c>
      <c r="C43" s="1" t="s">
        <v>51</v>
      </c>
      <c r="D43" s="1" t="s">
        <v>73</v>
      </c>
      <c r="E43" s="1" t="s">
        <v>160</v>
      </c>
      <c r="F43" s="15">
        <v>37063.279999999977</v>
      </c>
      <c r="G43" s="15">
        <f>tblProgress23[[#This Row],[Weight Project
Peso do Projeto]]*tblProgress23[[#This Row],[% F. Prog.
Percent. Aju.]]</f>
        <v>37063.279999999977</v>
      </c>
      <c r="H43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43" s="15">
        <f>tblProgress23[[#This Row],[Weight Project
Peso do Projeto]]*tblProgress23[[#This Row],[% W. Prog.
Percent. Sold.]]</f>
        <v>37063.279999999977</v>
      </c>
      <c r="J43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43" s="15">
        <f>tblProgress23[[#This Row],[Weight Project
Peso do Projeto]]*tblProgress23[[#This Row],[% NDT Prog.
Percent. Insp.]]</f>
        <v>37063.279999999977</v>
      </c>
      <c r="L43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43" s="15">
        <f>IF(tblProgress23[[#This Row],[% NDT Prog.
Percent. Insp.]]&lt;1,0,1*tblProgress23[[#This Row],[Weight Project
Peso do Projeto]])</f>
        <v>37063.279999999977</v>
      </c>
      <c r="N43" s="18">
        <f>IF(tblProgress23[[#This Row],[% NDT Prog.
Percent. Insp.]]&lt;1,0,1)</f>
        <v>1</v>
      </c>
    </row>
    <row r="44" spans="2:14" x14ac:dyDescent="0.25">
      <c r="B44" s="16" t="s">
        <v>26</v>
      </c>
      <c r="C44" s="16" t="s">
        <v>51</v>
      </c>
      <c r="D44" s="16" t="s">
        <v>73</v>
      </c>
      <c r="E44" s="1" t="s">
        <v>161</v>
      </c>
      <c r="F44" s="15">
        <v>25659.19384615383</v>
      </c>
      <c r="G44" s="15">
        <f>tblProgress23[[#This Row],[Weight Project
Peso do Projeto]]*tblProgress23[[#This Row],[% F. Prog.
Percent. Aju.]]</f>
        <v>25659.19384615383</v>
      </c>
      <c r="H44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44" s="15">
        <f>tblProgress23[[#This Row],[Weight Project
Peso do Projeto]]*tblProgress23[[#This Row],[% W. Prog.
Percent. Sold.]]</f>
        <v>25659.19384615383</v>
      </c>
      <c r="J44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44" s="15">
        <f>tblProgress23[[#This Row],[Weight Project
Peso do Projeto]]*tblProgress23[[#This Row],[% NDT Prog.
Percent. Insp.]]</f>
        <v>25659.19384615383</v>
      </c>
      <c r="L44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44" s="15">
        <f>IF(tblProgress23[[#This Row],[% NDT Prog.
Percent. Insp.]]&lt;1,0,1*tblProgress23[[#This Row],[Weight Project
Peso do Projeto]])</f>
        <v>25659.19384615383</v>
      </c>
      <c r="N44" s="18">
        <f>IF(tblProgress23[[#This Row],[% NDT Prog.
Percent. Insp.]]&lt;1,0,1)</f>
        <v>1</v>
      </c>
    </row>
    <row r="45" spans="2:14" x14ac:dyDescent="0.25">
      <c r="B45" s="16" t="s">
        <v>26</v>
      </c>
      <c r="C45" s="16" t="s">
        <v>51</v>
      </c>
      <c r="D45" s="16" t="s">
        <v>72</v>
      </c>
      <c r="E45" s="1" t="s">
        <v>159</v>
      </c>
      <c r="F45" s="15">
        <v>56297.169999999955</v>
      </c>
      <c r="G45" s="15">
        <f>tblProgress23[[#This Row],[Weight Project
Peso do Projeto]]*tblProgress23[[#This Row],[% F. Prog.
Percent. Aju.]]</f>
        <v>56297.169999999955</v>
      </c>
      <c r="H45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45" s="15">
        <f>tblProgress23[[#This Row],[Weight Project
Peso do Projeto]]*tblProgress23[[#This Row],[% W. Prog.
Percent. Sold.]]</f>
        <v>56297.169999999955</v>
      </c>
      <c r="J45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45" s="15">
        <f>tblProgress23[[#This Row],[Weight Project
Peso do Projeto]]*tblProgress23[[#This Row],[% NDT Prog.
Percent. Insp.]]</f>
        <v>56297.169999999955</v>
      </c>
      <c r="L45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45" s="15">
        <f>IF(tblProgress23[[#This Row],[% NDT Prog.
Percent. Insp.]]&lt;1,0,1*tblProgress23[[#This Row],[Weight Project
Peso do Projeto]])</f>
        <v>56297.169999999955</v>
      </c>
      <c r="N45" s="18">
        <f>IF(tblProgress23[[#This Row],[% NDT Prog.
Percent. Insp.]]&lt;1,0,1)</f>
        <v>1</v>
      </c>
    </row>
    <row r="46" spans="2:14" x14ac:dyDescent="0.25">
      <c r="B46" s="1" t="s">
        <v>26</v>
      </c>
      <c r="C46" s="1" t="s">
        <v>51</v>
      </c>
      <c r="D46" s="1" t="s">
        <v>72</v>
      </c>
      <c r="E46" s="1" t="s">
        <v>160</v>
      </c>
      <c r="F46" s="15">
        <v>56297.169999999955</v>
      </c>
      <c r="G46" s="15">
        <f>tblProgress23[[#This Row],[Weight Project
Peso do Projeto]]*tblProgress23[[#This Row],[% F. Prog.
Percent. Aju.]]</f>
        <v>56297.169999999955</v>
      </c>
      <c r="H46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46" s="15">
        <f>tblProgress23[[#This Row],[Weight Project
Peso do Projeto]]*tblProgress23[[#This Row],[% W. Prog.
Percent. Sold.]]</f>
        <v>56297.169999999955</v>
      </c>
      <c r="J46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46" s="15">
        <f>tblProgress23[[#This Row],[Weight Project
Peso do Projeto]]*tblProgress23[[#This Row],[% NDT Prog.
Percent. Insp.]]</f>
        <v>56297.169999999955</v>
      </c>
      <c r="L46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46" s="15">
        <f>IF(tblProgress23[[#This Row],[% NDT Prog.
Percent. Insp.]]&lt;1,0,1*tblProgress23[[#This Row],[Weight Project
Peso do Projeto]])</f>
        <v>56297.169999999955</v>
      </c>
      <c r="N46" s="18">
        <f>IF(tblProgress23[[#This Row],[% NDT Prog.
Percent. Insp.]]&lt;1,0,1)</f>
        <v>1</v>
      </c>
    </row>
    <row r="47" spans="2:14" x14ac:dyDescent="0.25">
      <c r="B47" s="1" t="s">
        <v>26</v>
      </c>
      <c r="C47" s="1" t="s">
        <v>51</v>
      </c>
      <c r="D47" s="1" t="s">
        <v>69</v>
      </c>
      <c r="E47" s="1" t="s">
        <v>159</v>
      </c>
      <c r="F47" s="15">
        <v>51802.619999999923</v>
      </c>
      <c r="G47" s="15">
        <f>tblProgress23[[#This Row],[Weight Project
Peso do Projeto]]*tblProgress23[[#This Row],[% F. Prog.
Percent. Aju.]]</f>
        <v>51802.619999999923</v>
      </c>
      <c r="H47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47" s="15">
        <f>tblProgress23[[#This Row],[Weight Project
Peso do Projeto]]*tblProgress23[[#This Row],[% W. Prog.
Percent. Sold.]]</f>
        <v>51802.619999999923</v>
      </c>
      <c r="J47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47" s="15">
        <f>tblProgress23[[#This Row],[Weight Project
Peso do Projeto]]*tblProgress23[[#This Row],[% NDT Prog.
Percent. Insp.]]</f>
        <v>51802.619999999923</v>
      </c>
      <c r="L47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47" s="15">
        <f>IF(tblProgress23[[#This Row],[% NDT Prog.
Percent. Insp.]]&lt;1,0,1*tblProgress23[[#This Row],[Weight Project
Peso do Projeto]])</f>
        <v>51802.619999999923</v>
      </c>
      <c r="N47" s="18">
        <f>IF(tblProgress23[[#This Row],[% NDT Prog.
Percent. Insp.]]&lt;1,0,1)</f>
        <v>1</v>
      </c>
    </row>
    <row r="48" spans="2:14" x14ac:dyDescent="0.25">
      <c r="B48" s="1" t="s">
        <v>26</v>
      </c>
      <c r="C48" s="1" t="s">
        <v>51</v>
      </c>
      <c r="D48" s="1" t="s">
        <v>69</v>
      </c>
      <c r="E48" s="1" t="s">
        <v>160</v>
      </c>
      <c r="F48" s="15">
        <v>51802.619999999923</v>
      </c>
      <c r="G48" s="15">
        <f>tblProgress23[[#This Row],[Weight Project
Peso do Projeto]]*tblProgress23[[#This Row],[% F. Prog.
Percent. Aju.]]</f>
        <v>51802.619999999923</v>
      </c>
      <c r="H48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48" s="15">
        <f>tblProgress23[[#This Row],[Weight Project
Peso do Projeto]]*tblProgress23[[#This Row],[% W. Prog.
Percent. Sold.]]</f>
        <v>51802.619999999923</v>
      </c>
      <c r="J48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48" s="15">
        <f>tblProgress23[[#This Row],[Weight Project
Peso do Projeto]]*tblProgress23[[#This Row],[% NDT Prog.
Percent. Insp.]]</f>
        <v>51802.619999999923</v>
      </c>
      <c r="L48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48" s="15">
        <f>IF(tblProgress23[[#This Row],[% NDT Prog.
Percent. Insp.]]&lt;1,0,1*tblProgress23[[#This Row],[Weight Project
Peso do Projeto]])</f>
        <v>51802.619999999923</v>
      </c>
      <c r="N48" s="18">
        <f>IF(tblProgress23[[#This Row],[% NDT Prog.
Percent. Insp.]]&lt;1,0,1)</f>
        <v>1</v>
      </c>
    </row>
    <row r="49" spans="2:14" x14ac:dyDescent="0.25">
      <c r="B49" s="1" t="s">
        <v>26</v>
      </c>
      <c r="C49" s="1" t="s">
        <v>51</v>
      </c>
      <c r="D49" s="1" t="s">
        <v>68</v>
      </c>
      <c r="E49" s="1" t="s">
        <v>159</v>
      </c>
      <c r="F49" s="15">
        <v>89929.743749999994</v>
      </c>
      <c r="G49" s="15">
        <f>tblProgress23[[#This Row],[Weight Project
Peso do Projeto]]*tblProgress23[[#This Row],[% F. Prog.
Percent. Aju.]]</f>
        <v>89929.743749999994</v>
      </c>
      <c r="H49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49" s="15">
        <f>tblProgress23[[#This Row],[Weight Project
Peso do Projeto]]*tblProgress23[[#This Row],[% W. Prog.
Percent. Sold.]]</f>
        <v>89929.743749999994</v>
      </c>
      <c r="J49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49" s="15">
        <f>tblProgress23[[#This Row],[Weight Project
Peso do Projeto]]*tblProgress23[[#This Row],[% NDT Prog.
Percent. Insp.]]</f>
        <v>89929.743749999994</v>
      </c>
      <c r="L49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49" s="15">
        <f>IF(tblProgress23[[#This Row],[% NDT Prog.
Percent. Insp.]]&lt;1,0,1*tblProgress23[[#This Row],[Weight Project
Peso do Projeto]])</f>
        <v>89929.743749999994</v>
      </c>
      <c r="N49" s="18">
        <f>IF(tblProgress23[[#This Row],[% NDT Prog.
Percent. Insp.]]&lt;1,0,1)</f>
        <v>1</v>
      </c>
    </row>
    <row r="50" spans="2:14" x14ac:dyDescent="0.25">
      <c r="B50" s="1" t="s">
        <v>26</v>
      </c>
      <c r="C50" s="1" t="s">
        <v>51</v>
      </c>
      <c r="D50" s="1" t="s">
        <v>68</v>
      </c>
      <c r="E50" s="1" t="s">
        <v>160</v>
      </c>
      <c r="F50" s="15">
        <v>5995.3162499999999</v>
      </c>
      <c r="G50" s="15">
        <f>tblProgress23[[#This Row],[Weight Project
Peso do Projeto]]*tblProgress23[[#This Row],[% F. Prog.
Percent. Aju.]]</f>
        <v>5995.3162499999999</v>
      </c>
      <c r="H50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50" s="15">
        <f>tblProgress23[[#This Row],[Weight Project
Peso do Projeto]]*tblProgress23[[#This Row],[% W. Prog.
Percent. Sold.]]</f>
        <v>5995.3162499999999</v>
      </c>
      <c r="J50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50" s="15">
        <f>tblProgress23[[#This Row],[Weight Project
Peso do Projeto]]*tblProgress23[[#This Row],[% NDT Prog.
Percent. Insp.]]</f>
        <v>5995.3162499999999</v>
      </c>
      <c r="L50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50" s="15">
        <f>IF(tblProgress23[[#This Row],[% NDT Prog.
Percent. Insp.]]&lt;1,0,1*tblProgress23[[#This Row],[Weight Project
Peso do Projeto]])</f>
        <v>5995.3162499999999</v>
      </c>
      <c r="N50" s="18">
        <f>IF(tblProgress23[[#This Row],[% NDT Prog.
Percent. Insp.]]&lt;1,0,1)</f>
        <v>1</v>
      </c>
    </row>
    <row r="51" spans="2:14" x14ac:dyDescent="0.25">
      <c r="B51" s="1" t="s">
        <v>26</v>
      </c>
      <c r="C51" s="1" t="s">
        <v>51</v>
      </c>
      <c r="D51" s="1" t="s">
        <v>60</v>
      </c>
      <c r="E51" s="1" t="s">
        <v>159</v>
      </c>
      <c r="F51" s="15">
        <v>84125.098536585356</v>
      </c>
      <c r="G51" s="15">
        <f>tblProgress23[[#This Row],[Weight Project
Peso do Projeto]]*tblProgress23[[#This Row],[% F. Prog.
Percent. Aju.]]</f>
        <v>84125.098536585356</v>
      </c>
      <c r="H51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51" s="15">
        <f>tblProgress23[[#This Row],[Weight Project
Peso do Projeto]]*tblProgress23[[#This Row],[% W. Prog.
Percent. Sold.]]</f>
        <v>84125.098536585356</v>
      </c>
      <c r="J51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51" s="15">
        <f>tblProgress23[[#This Row],[Weight Project
Peso do Projeto]]*tblProgress23[[#This Row],[% NDT Prog.
Percent. Insp.]]</f>
        <v>84125.098536585356</v>
      </c>
      <c r="L51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51" s="15">
        <f>IF(tblProgress23[[#This Row],[% NDT Prog.
Percent. Insp.]]&lt;1,0,1*tblProgress23[[#This Row],[Weight Project
Peso do Projeto]])</f>
        <v>84125.098536585356</v>
      </c>
      <c r="N51" s="18">
        <f>IF(tblProgress23[[#This Row],[% NDT Prog.
Percent. Insp.]]&lt;1,0,1)</f>
        <v>1</v>
      </c>
    </row>
    <row r="52" spans="2:14" x14ac:dyDescent="0.25">
      <c r="B52" s="1" t="s">
        <v>26</v>
      </c>
      <c r="C52" s="1" t="s">
        <v>51</v>
      </c>
      <c r="D52" s="1" t="s">
        <v>60</v>
      </c>
      <c r="E52" s="1" t="s">
        <v>160</v>
      </c>
      <c r="F52" s="15">
        <v>11684.041463414633</v>
      </c>
      <c r="G52" s="15">
        <f>tblProgress23[[#This Row],[Weight Project
Peso do Projeto]]*tblProgress23[[#This Row],[% F. Prog.
Percent. Aju.]]</f>
        <v>11684.041463414633</v>
      </c>
      <c r="H52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52" s="15">
        <f>tblProgress23[[#This Row],[Weight Project
Peso do Projeto]]*tblProgress23[[#This Row],[% W. Prog.
Percent. Sold.]]</f>
        <v>11684.041463414633</v>
      </c>
      <c r="J52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52" s="15">
        <f>tblProgress23[[#This Row],[Weight Project
Peso do Projeto]]*tblProgress23[[#This Row],[% NDT Prog.
Percent. Insp.]]</f>
        <v>11684.041463414633</v>
      </c>
      <c r="L52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52" s="15">
        <f>IF(tblProgress23[[#This Row],[% NDT Prog.
Percent. Insp.]]&lt;1,0,1*tblProgress23[[#This Row],[Weight Project
Peso do Projeto]])</f>
        <v>11684.041463414633</v>
      </c>
      <c r="N52" s="18">
        <f>IF(tblProgress23[[#This Row],[% NDT Prog.
Percent. Insp.]]&lt;1,0,1)</f>
        <v>1</v>
      </c>
    </row>
    <row r="53" spans="2:14" x14ac:dyDescent="0.25">
      <c r="B53" s="1" t="s">
        <v>26</v>
      </c>
      <c r="C53" s="1" t="s">
        <v>51</v>
      </c>
      <c r="D53" s="1" t="s">
        <v>57</v>
      </c>
      <c r="E53" s="1" t="s">
        <v>159</v>
      </c>
      <c r="F53" s="15">
        <v>92753.886822227039</v>
      </c>
      <c r="G53" s="15">
        <f>tblProgress23[[#This Row],[Weight Project
Peso do Projeto]]*tblProgress23[[#This Row],[% F. Prog.
Percent. Aju.]]</f>
        <v>92753.886822227039</v>
      </c>
      <c r="H53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53" s="15">
        <f>tblProgress23[[#This Row],[Weight Project
Peso do Projeto]]*tblProgress23[[#This Row],[% W. Prog.
Percent. Sold.]]</f>
        <v>92753.886822227039</v>
      </c>
      <c r="J53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53" s="15">
        <f>tblProgress23[[#This Row],[Weight Project
Peso do Projeto]]*tblProgress23[[#This Row],[% NDT Prog.
Percent. Insp.]]</f>
        <v>92753.886822227039</v>
      </c>
      <c r="L53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53" s="15">
        <f>IF(tblProgress23[[#This Row],[% NDT Prog.
Percent. Insp.]]&lt;1,0,1*tblProgress23[[#This Row],[Weight Project
Peso do Projeto]])</f>
        <v>92753.886822227039</v>
      </c>
      <c r="N53" s="18">
        <f>IF(tblProgress23[[#This Row],[% NDT Prog.
Percent. Insp.]]&lt;1,0,1)</f>
        <v>1</v>
      </c>
    </row>
    <row r="54" spans="2:14" x14ac:dyDescent="0.25">
      <c r="B54" s="1" t="s">
        <v>26</v>
      </c>
      <c r="C54" s="1" t="s">
        <v>51</v>
      </c>
      <c r="D54" s="1" t="s">
        <v>57</v>
      </c>
      <c r="E54" s="1" t="s">
        <v>160</v>
      </c>
      <c r="F54" s="15">
        <v>2576.4968561729734</v>
      </c>
      <c r="G54" s="15">
        <f>tblProgress23[[#This Row],[Weight Project
Peso do Projeto]]*tblProgress23[[#This Row],[% F. Prog.
Percent. Aju.]]</f>
        <v>2576.4968561729734</v>
      </c>
      <c r="H54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54" s="15">
        <f>tblProgress23[[#This Row],[Weight Project
Peso do Projeto]]*tblProgress23[[#This Row],[% W. Prog.
Percent. Sold.]]</f>
        <v>2576.4968561729734</v>
      </c>
      <c r="J54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54" s="15">
        <f>tblProgress23[[#This Row],[Weight Project
Peso do Projeto]]*tblProgress23[[#This Row],[% NDT Prog.
Percent. Insp.]]</f>
        <v>2576.4968561729734</v>
      </c>
      <c r="L54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54" s="15">
        <f>IF(tblProgress23[[#This Row],[% NDT Prog.
Percent. Insp.]]&lt;1,0,1*tblProgress23[[#This Row],[Weight Project
Peso do Projeto]])</f>
        <v>2576.4968561729734</v>
      </c>
      <c r="N54" s="18">
        <f>IF(tblProgress23[[#This Row],[% NDT Prog.
Percent. Insp.]]&lt;1,0,1)</f>
        <v>1</v>
      </c>
    </row>
    <row r="55" spans="2:14" x14ac:dyDescent="0.25">
      <c r="B55" s="1" t="s">
        <v>26</v>
      </c>
      <c r="C55" s="1" t="s">
        <v>51</v>
      </c>
      <c r="D55" s="1" t="s">
        <v>55</v>
      </c>
      <c r="E55" s="1" t="s">
        <v>159</v>
      </c>
      <c r="F55" s="15">
        <v>33687.787500000006</v>
      </c>
      <c r="G55" s="15">
        <f>tblProgress23[[#This Row],[Weight Project
Peso do Projeto]]*tblProgress23[[#This Row],[% F. Prog.
Percent. Aju.]]</f>
        <v>33687.787500000006</v>
      </c>
      <c r="H55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55" s="15">
        <f>tblProgress23[[#This Row],[Weight Project
Peso do Projeto]]*tblProgress23[[#This Row],[% W. Prog.
Percent. Sold.]]</f>
        <v>33687.787500000006</v>
      </c>
      <c r="J55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55" s="15">
        <f>tblProgress23[[#This Row],[Weight Project
Peso do Projeto]]*tblProgress23[[#This Row],[% NDT Prog.
Percent. Insp.]]</f>
        <v>33687.787500000006</v>
      </c>
      <c r="L55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55" s="15">
        <f>IF(tblProgress23[[#This Row],[% NDT Prog.
Percent. Insp.]]&lt;1,0,1*tblProgress23[[#This Row],[Weight Project
Peso do Projeto]])</f>
        <v>33687.787500000006</v>
      </c>
      <c r="N55" s="18">
        <f>IF(tblProgress23[[#This Row],[% NDT Prog.
Percent. Insp.]]&lt;1,0,1)</f>
        <v>1</v>
      </c>
    </row>
    <row r="56" spans="2:14" x14ac:dyDescent="0.25">
      <c r="B56" s="1" t="s">
        <v>26</v>
      </c>
      <c r="C56" s="1" t="s">
        <v>51</v>
      </c>
      <c r="D56" s="1" t="s">
        <v>55</v>
      </c>
      <c r="E56" s="1" t="s">
        <v>160</v>
      </c>
      <c r="F56" s="15">
        <v>1464.6864130434785</v>
      </c>
      <c r="G56" s="15">
        <f>tblProgress23[[#This Row],[Weight Project
Peso do Projeto]]*tblProgress23[[#This Row],[% F. Prog.
Percent. Aju.]]</f>
        <v>1464.6864130434785</v>
      </c>
      <c r="H56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56" s="15">
        <f>tblProgress23[[#This Row],[Weight Project
Peso do Projeto]]*tblProgress23[[#This Row],[% W. Prog.
Percent. Sold.]]</f>
        <v>1464.6864130434785</v>
      </c>
      <c r="J56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56" s="15">
        <f>tblProgress23[[#This Row],[Weight Project
Peso do Projeto]]*tblProgress23[[#This Row],[% NDT Prog.
Percent. Insp.]]</f>
        <v>1464.6864130434785</v>
      </c>
      <c r="L56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56" s="15">
        <f>IF(tblProgress23[[#This Row],[% NDT Prog.
Percent. Insp.]]&lt;1,0,1*tblProgress23[[#This Row],[Weight Project
Peso do Projeto]])</f>
        <v>1464.6864130434785</v>
      </c>
      <c r="N56" s="18">
        <f>IF(tblProgress23[[#This Row],[% NDT Prog.
Percent. Insp.]]&lt;1,0,1)</f>
        <v>1</v>
      </c>
    </row>
    <row r="57" spans="2:14" x14ac:dyDescent="0.25">
      <c r="B57" s="1" t="s">
        <v>26</v>
      </c>
      <c r="C57" s="1" t="s">
        <v>51</v>
      </c>
      <c r="D57" s="1" t="s">
        <v>55</v>
      </c>
      <c r="E57" s="1" t="s">
        <v>162</v>
      </c>
      <c r="F57" s="15">
        <v>99598.676086956533</v>
      </c>
      <c r="G57" s="15">
        <f>tblProgress23[[#This Row],[Weight Project
Peso do Projeto]]*tblProgress23[[#This Row],[% F. Prog.
Percent. Aju.]]</f>
        <v>99598.676086956533</v>
      </c>
      <c r="H57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57" s="15">
        <f>tblProgress23[[#This Row],[Weight Project
Peso do Projeto]]*tblProgress23[[#This Row],[% W. Prog.
Percent. Sold.]]</f>
        <v>99598.676086956533</v>
      </c>
      <c r="J57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57" s="15">
        <f>tblProgress23[[#This Row],[Weight Project
Peso do Projeto]]*tblProgress23[[#This Row],[% NDT Prog.
Percent. Insp.]]</f>
        <v>99598.676086956533</v>
      </c>
      <c r="L57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57" s="15">
        <f>IF(tblProgress23[[#This Row],[% NDT Prog.
Percent. Insp.]]&lt;1,0,1*tblProgress23[[#This Row],[Weight Project
Peso do Projeto]])</f>
        <v>99598.676086956533</v>
      </c>
      <c r="N57" s="18">
        <f>IF(tblProgress23[[#This Row],[% NDT Prog.
Percent. Insp.]]&lt;1,0,1)</f>
        <v>1</v>
      </c>
    </row>
    <row r="58" spans="2:14" x14ac:dyDescent="0.25">
      <c r="B58" s="1" t="s">
        <v>26</v>
      </c>
      <c r="C58" s="1" t="s">
        <v>51</v>
      </c>
      <c r="D58" s="1" t="s">
        <v>52</v>
      </c>
      <c r="E58" s="1" t="s">
        <v>159</v>
      </c>
      <c r="F58" s="15">
        <v>67096.790270270314</v>
      </c>
      <c r="G58" s="15">
        <f>tblProgress23[[#This Row],[Weight Project
Peso do Projeto]]*tblProgress23[[#This Row],[% F. Prog.
Percent. Aju.]]</f>
        <v>67096.790270270314</v>
      </c>
      <c r="H58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58" s="15">
        <f>tblProgress23[[#This Row],[Weight Project
Peso do Projeto]]*tblProgress23[[#This Row],[% W. Prog.
Percent. Sold.]]</f>
        <v>67096.790270270314</v>
      </c>
      <c r="J58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58" s="15">
        <f>tblProgress23[[#This Row],[Weight Project
Peso do Projeto]]*tblProgress23[[#This Row],[% NDT Prog.
Percent. Insp.]]</f>
        <v>67096.790270270314</v>
      </c>
      <c r="L58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58" s="15">
        <f>IF(tblProgress23[[#This Row],[% NDT Prog.
Percent. Insp.]]&lt;1,0,1*tblProgress23[[#This Row],[Weight Project
Peso do Projeto]])</f>
        <v>67096.790270270314</v>
      </c>
      <c r="N58" s="18">
        <f>IF(tblProgress23[[#This Row],[% NDT Prog.
Percent. Insp.]]&lt;1,0,1)</f>
        <v>1</v>
      </c>
    </row>
    <row r="59" spans="2:14" s="16" customFormat="1" x14ac:dyDescent="0.25">
      <c r="B59" s="1" t="s">
        <v>26</v>
      </c>
      <c r="C59" s="1" t="s">
        <v>51</v>
      </c>
      <c r="D59" s="1" t="s">
        <v>52</v>
      </c>
      <c r="E59" s="1" t="s">
        <v>163</v>
      </c>
      <c r="F59" s="15">
        <v>1863.7997297297309</v>
      </c>
      <c r="G59" s="15">
        <f>tblProgress23[[#This Row],[Weight Project
Peso do Projeto]]*tblProgress23[[#This Row],[% F. Prog.
Percent. Aju.]]</f>
        <v>1863.7997297297309</v>
      </c>
      <c r="H59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59" s="15">
        <f>tblProgress23[[#This Row],[Weight Project
Peso do Projeto]]*tblProgress23[[#This Row],[% W. Prog.
Percent. Sold.]]</f>
        <v>1863.7997297297309</v>
      </c>
      <c r="J59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59" s="15">
        <f>tblProgress23[[#This Row],[Weight Project
Peso do Projeto]]*tblProgress23[[#This Row],[% NDT Prog.
Percent. Insp.]]</f>
        <v>1863.7997297297309</v>
      </c>
      <c r="L59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59" s="15">
        <f>IF(tblProgress23[[#This Row],[% NDT Prog.
Percent. Insp.]]&lt;1,0,1*tblProgress23[[#This Row],[Weight Project
Peso do Projeto]])</f>
        <v>1863.7997297297309</v>
      </c>
      <c r="N59" s="18">
        <f>IF(tblProgress23[[#This Row],[% NDT Prog.
Percent. Insp.]]&lt;1,0,1)</f>
        <v>1</v>
      </c>
    </row>
    <row r="60" spans="2:14" s="16" customFormat="1" x14ac:dyDescent="0.25">
      <c r="B60" s="1" t="s">
        <v>26</v>
      </c>
      <c r="C60" s="1" t="s">
        <v>54</v>
      </c>
      <c r="D60" s="1" t="s">
        <v>62</v>
      </c>
      <c r="E60" s="1" t="s">
        <v>164</v>
      </c>
      <c r="F60" s="15">
        <v>87530.365384615376</v>
      </c>
      <c r="G60" s="15">
        <f>tblProgress23[[#This Row],[Weight Project
Peso do Projeto]]*tblProgress23[[#This Row],[% F. Prog.
Percent. Aju.]]</f>
        <v>87530.365384615376</v>
      </c>
      <c r="H60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60" s="15">
        <f>tblProgress23[[#This Row],[Weight Project
Peso do Projeto]]*tblProgress23[[#This Row],[% W. Prog.
Percent. Sold.]]</f>
        <v>87530.365384615376</v>
      </c>
      <c r="J60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60" s="15">
        <f>tblProgress23[[#This Row],[Weight Project
Peso do Projeto]]*tblProgress23[[#This Row],[% NDT Prog.
Percent. Insp.]]</f>
        <v>87530.365384615376</v>
      </c>
      <c r="L60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60" s="15">
        <f>IF(tblProgress23[[#This Row],[% NDT Prog.
Percent. Insp.]]&lt;1,0,1*tblProgress23[[#This Row],[Weight Project
Peso do Projeto]])</f>
        <v>87530.365384615376</v>
      </c>
      <c r="N60" s="18">
        <f>IF(tblProgress23[[#This Row],[% NDT Prog.
Percent. Insp.]]&lt;1,0,1)</f>
        <v>1</v>
      </c>
    </row>
    <row r="61" spans="2:14" x14ac:dyDescent="0.25">
      <c r="B61" s="1" t="s">
        <v>26</v>
      </c>
      <c r="C61" s="1" t="s">
        <v>54</v>
      </c>
      <c r="D61" s="1" t="s">
        <v>62</v>
      </c>
      <c r="E61" s="1" t="s">
        <v>165</v>
      </c>
      <c r="F61" s="15">
        <v>19860.134615384599</v>
      </c>
      <c r="G61" s="15">
        <f>tblProgress23[[#This Row],[Weight Project
Peso do Projeto]]*tblProgress23[[#This Row],[% F. Prog.
Percent. Aju.]]</f>
        <v>19860.134615384599</v>
      </c>
      <c r="H61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61" s="15">
        <f>tblProgress23[[#This Row],[Weight Project
Peso do Projeto]]*tblProgress23[[#This Row],[% W. Prog.
Percent. Sold.]]</f>
        <v>19860.134615384599</v>
      </c>
      <c r="J61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61" s="15">
        <f>tblProgress23[[#This Row],[Weight Project
Peso do Projeto]]*tblProgress23[[#This Row],[% NDT Prog.
Percent. Insp.]]</f>
        <v>19860.134615384599</v>
      </c>
      <c r="L61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61" s="15">
        <f>IF(tblProgress23[[#This Row],[% NDT Prog.
Percent. Insp.]]&lt;1,0,1*tblProgress23[[#This Row],[Weight Project
Peso do Projeto]])</f>
        <v>19860.134615384599</v>
      </c>
      <c r="N61" s="18">
        <f>IF(tblProgress23[[#This Row],[% NDT Prog.
Percent. Insp.]]&lt;1,0,1)</f>
        <v>1</v>
      </c>
    </row>
    <row r="62" spans="2:14" x14ac:dyDescent="0.25">
      <c r="B62" s="1" t="s">
        <v>26</v>
      </c>
      <c r="C62" s="1" t="s">
        <v>54</v>
      </c>
      <c r="D62" s="1" t="s">
        <v>64</v>
      </c>
      <c r="E62" s="1" t="s">
        <v>164</v>
      </c>
      <c r="F62" s="15">
        <v>53557.390769230798</v>
      </c>
      <c r="G62" s="15">
        <f>tblProgress23[[#This Row],[Weight Project
Peso do Projeto]]*tblProgress23[[#This Row],[% F. Prog.
Percent. Aju.]]</f>
        <v>53557.390769230798</v>
      </c>
      <c r="H62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62" s="15">
        <f>tblProgress23[[#This Row],[Weight Project
Peso do Projeto]]*tblProgress23[[#This Row],[% W. Prog.
Percent. Sold.]]</f>
        <v>53557.390769230798</v>
      </c>
      <c r="J62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62" s="15">
        <f>tblProgress23[[#This Row],[Weight Project
Peso do Projeto]]*tblProgress23[[#This Row],[% NDT Prog.
Percent. Insp.]]</f>
        <v>53557.390769230798</v>
      </c>
      <c r="L62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62" s="15">
        <f>IF(tblProgress23[[#This Row],[% NDT Prog.
Percent. Insp.]]&lt;1,0,1*tblProgress23[[#This Row],[Weight Project
Peso do Projeto]])</f>
        <v>53557.390769230798</v>
      </c>
      <c r="N62" s="18">
        <f>IF(tblProgress23[[#This Row],[% NDT Prog.
Percent. Insp.]]&lt;1,0,1)</f>
        <v>1</v>
      </c>
    </row>
    <row r="63" spans="2:14" x14ac:dyDescent="0.25">
      <c r="B63" s="1" t="s">
        <v>26</v>
      </c>
      <c r="C63" s="1" t="s">
        <v>54</v>
      </c>
      <c r="D63" s="1" t="s">
        <v>64</v>
      </c>
      <c r="E63" s="1" t="s">
        <v>165</v>
      </c>
      <c r="F63" s="15">
        <v>33473.369230769204</v>
      </c>
      <c r="G63" s="15">
        <f>tblProgress23[[#This Row],[Weight Project
Peso do Projeto]]*tblProgress23[[#This Row],[% F. Prog.
Percent. Aju.]]</f>
        <v>33473.369230769204</v>
      </c>
      <c r="H63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63" s="15">
        <f>tblProgress23[[#This Row],[Weight Project
Peso do Projeto]]*tblProgress23[[#This Row],[% W. Prog.
Percent. Sold.]]</f>
        <v>33473.369230769204</v>
      </c>
      <c r="J63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63" s="15">
        <f>tblProgress23[[#This Row],[Weight Project
Peso do Projeto]]*tblProgress23[[#This Row],[% NDT Prog.
Percent. Insp.]]</f>
        <v>33473.369230769204</v>
      </c>
      <c r="L63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63" s="15">
        <f>IF(tblProgress23[[#This Row],[% NDT Prog.
Percent. Insp.]]&lt;1,0,1*tblProgress23[[#This Row],[Weight Project
Peso do Projeto]])</f>
        <v>33473.369230769204</v>
      </c>
      <c r="N63" s="18">
        <f>IF(tblProgress23[[#This Row],[% NDT Prog.
Percent. Insp.]]&lt;1,0,1)</f>
        <v>1</v>
      </c>
    </row>
    <row r="64" spans="2:14" x14ac:dyDescent="0.25">
      <c r="B64" s="1" t="s">
        <v>26</v>
      </c>
      <c r="C64" s="1" t="s">
        <v>54</v>
      </c>
      <c r="D64" s="1" t="s">
        <v>71</v>
      </c>
      <c r="E64" s="1" t="s">
        <v>164</v>
      </c>
      <c r="F64" s="15">
        <v>82046.399999999994</v>
      </c>
      <c r="G64" s="15">
        <f>tblProgress23[[#This Row],[Weight Project
Peso do Projeto]]*tblProgress23[[#This Row],[% F. Prog.
Percent. Aju.]]</f>
        <v>82046.399999999994</v>
      </c>
      <c r="H64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64" s="15">
        <f>tblProgress23[[#This Row],[Weight Project
Peso do Projeto]]*tblProgress23[[#This Row],[% W. Prog.
Percent. Sold.]]</f>
        <v>82046.399999999994</v>
      </c>
      <c r="J64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64" s="15">
        <f>tblProgress23[[#This Row],[Weight Project
Peso do Projeto]]*tblProgress23[[#This Row],[% NDT Prog.
Percent. Insp.]]</f>
        <v>82046.399999999994</v>
      </c>
      <c r="L64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64" s="15">
        <f>IF(tblProgress23[[#This Row],[% NDT Prog.
Percent. Insp.]]&lt;1,0,1*tblProgress23[[#This Row],[Weight Project
Peso do Projeto]])</f>
        <v>82046.399999999994</v>
      </c>
      <c r="N64" s="18">
        <f>IF(tblProgress23[[#This Row],[% NDT Prog.
Percent. Insp.]]&lt;1,0,1)</f>
        <v>1</v>
      </c>
    </row>
    <row r="65" spans="2:14" x14ac:dyDescent="0.25">
      <c r="B65" s="1" t="s">
        <v>26</v>
      </c>
      <c r="C65" s="1" t="s">
        <v>54</v>
      </c>
      <c r="D65" s="1" t="s">
        <v>75</v>
      </c>
      <c r="E65" s="1" t="s">
        <v>164</v>
      </c>
      <c r="F65" s="15">
        <v>80497.16</v>
      </c>
      <c r="G65" s="15">
        <f>tblProgress23[[#This Row],[Weight Project
Peso do Projeto]]*tblProgress23[[#This Row],[% F. Prog.
Percent. Aju.]]</f>
        <v>80497.16</v>
      </c>
      <c r="H65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65" s="15">
        <f>tblProgress23[[#This Row],[Weight Project
Peso do Projeto]]*tblProgress23[[#This Row],[% W. Prog.
Percent. Sold.]]</f>
        <v>80497.16</v>
      </c>
      <c r="J65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65" s="15">
        <f>tblProgress23[[#This Row],[Weight Project
Peso do Projeto]]*tblProgress23[[#This Row],[% NDT Prog.
Percent. Insp.]]</f>
        <v>80497.16</v>
      </c>
      <c r="L65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65" s="15">
        <f>IF(tblProgress23[[#This Row],[% NDT Prog.
Percent. Insp.]]&lt;1,0,1*tblProgress23[[#This Row],[Weight Project
Peso do Projeto]])</f>
        <v>80497.16</v>
      </c>
      <c r="N65" s="18">
        <f>IF(tblProgress23[[#This Row],[% NDT Prog.
Percent. Insp.]]&lt;1,0,1)</f>
        <v>1</v>
      </c>
    </row>
    <row r="66" spans="2:14" x14ac:dyDescent="0.25">
      <c r="B66" s="1" t="s">
        <v>26</v>
      </c>
      <c r="C66" s="1" t="s">
        <v>54</v>
      </c>
      <c r="D66" s="1" t="s">
        <v>81</v>
      </c>
      <c r="E66" s="1" t="s">
        <v>165</v>
      </c>
      <c r="F66" s="15">
        <v>89010.22</v>
      </c>
      <c r="G66" s="15">
        <f>tblProgress23[[#This Row],[Weight Project
Peso do Projeto]]*tblProgress23[[#This Row],[% F. Prog.
Percent. Aju.]]</f>
        <v>89010.22</v>
      </c>
      <c r="H66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66" s="15">
        <f>tblProgress23[[#This Row],[Weight Project
Peso do Projeto]]*tblProgress23[[#This Row],[% W. Prog.
Percent. Sold.]]</f>
        <v>89010.22</v>
      </c>
      <c r="J66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66" s="15">
        <f>tblProgress23[[#This Row],[Weight Project
Peso do Projeto]]*tblProgress23[[#This Row],[% NDT Prog.
Percent. Insp.]]</f>
        <v>89010.22</v>
      </c>
      <c r="L66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66" s="15">
        <f>IF(tblProgress23[[#This Row],[% NDT Prog.
Percent. Insp.]]&lt;1,0,1*tblProgress23[[#This Row],[Weight Project
Peso do Projeto]])</f>
        <v>89010.22</v>
      </c>
      <c r="N66" s="18">
        <f>IF(tblProgress23[[#This Row],[% NDT Prog.
Percent. Insp.]]&lt;1,0,1)</f>
        <v>1</v>
      </c>
    </row>
    <row r="67" spans="2:14" x14ac:dyDescent="0.25">
      <c r="B67" s="16" t="s">
        <v>26</v>
      </c>
      <c r="C67" s="16" t="s">
        <v>54</v>
      </c>
      <c r="D67" s="16" t="s">
        <v>85</v>
      </c>
      <c r="E67" s="1" t="s">
        <v>165</v>
      </c>
      <c r="F67" s="15">
        <v>88239.1</v>
      </c>
      <c r="G67" s="15">
        <f>tblProgress23[[#This Row],[Weight Project
Peso do Projeto]]*tblProgress23[[#This Row],[% F. Prog.
Percent. Aju.]]</f>
        <v>88239.1</v>
      </c>
      <c r="H67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67" s="15">
        <f>tblProgress23[[#This Row],[Weight Project
Peso do Projeto]]*tblProgress23[[#This Row],[% W. Prog.
Percent. Sold.]]</f>
        <v>88239.1</v>
      </c>
      <c r="J67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67" s="15">
        <f>tblProgress23[[#This Row],[Weight Project
Peso do Projeto]]*tblProgress23[[#This Row],[% NDT Prog.
Percent. Insp.]]</f>
        <v>88239.1</v>
      </c>
      <c r="L67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67" s="15">
        <f>IF(tblProgress23[[#This Row],[% NDT Prog.
Percent. Insp.]]&lt;1,0,1*tblProgress23[[#This Row],[Weight Project
Peso do Projeto]])</f>
        <v>88239.1</v>
      </c>
      <c r="N67" s="18">
        <f>IF(tblProgress23[[#This Row],[% NDT Prog.
Percent. Insp.]]&lt;1,0,1)</f>
        <v>1</v>
      </c>
    </row>
    <row r="68" spans="2:14" x14ac:dyDescent="0.25">
      <c r="B68" s="1" t="s">
        <v>26</v>
      </c>
      <c r="C68" s="1" t="s">
        <v>54</v>
      </c>
      <c r="D68" s="1" t="s">
        <v>86</v>
      </c>
      <c r="E68" s="1" t="s">
        <v>164</v>
      </c>
      <c r="F68" s="15">
        <v>21576.174317647099</v>
      </c>
      <c r="G68" s="15">
        <f>tblProgress23[[#This Row],[Weight Project
Peso do Projeto]]*tblProgress23[[#This Row],[% F. Prog.
Percent. Aju.]]</f>
        <v>21576.174317647099</v>
      </c>
      <c r="H68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68" s="15">
        <f>tblProgress23[[#This Row],[Weight Project
Peso do Projeto]]*tblProgress23[[#This Row],[% W. Prog.
Percent. Sold.]]</f>
        <v>21576.174317647099</v>
      </c>
      <c r="J68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68" s="15">
        <f>tblProgress23[[#This Row],[Weight Project
Peso do Projeto]]*tblProgress23[[#This Row],[% NDT Prog.
Percent. Insp.]]</f>
        <v>21576.174317647099</v>
      </c>
      <c r="L68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68" s="15">
        <f>IF(tblProgress23[[#This Row],[% NDT Prog.
Percent. Insp.]]&lt;1,0,1*tblProgress23[[#This Row],[Weight Project
Peso do Projeto]])</f>
        <v>21576.174317647099</v>
      </c>
      <c r="N68" s="18">
        <f>IF(tblProgress23[[#This Row],[% NDT Prog.
Percent. Insp.]]&lt;1,0,1)</f>
        <v>1</v>
      </c>
    </row>
    <row r="69" spans="2:14" x14ac:dyDescent="0.25">
      <c r="B69" s="1" t="s">
        <v>26</v>
      </c>
      <c r="C69" s="1" t="s">
        <v>54</v>
      </c>
      <c r="D69" s="1" t="s">
        <v>86</v>
      </c>
      <c r="E69" s="1" t="s">
        <v>165</v>
      </c>
      <c r="F69" s="15">
        <v>39556.319582352902</v>
      </c>
      <c r="G69" s="15">
        <f>tblProgress23[[#This Row],[Weight Project
Peso do Projeto]]*tblProgress23[[#This Row],[% F. Prog.
Percent. Aju.]]</f>
        <v>39556.319582352902</v>
      </c>
      <c r="H69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69" s="15">
        <f>tblProgress23[[#This Row],[Weight Project
Peso do Projeto]]*tblProgress23[[#This Row],[% W. Prog.
Percent. Sold.]]</f>
        <v>39556.319582352902</v>
      </c>
      <c r="J69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69" s="15">
        <f>tblProgress23[[#This Row],[Weight Project
Peso do Projeto]]*tblProgress23[[#This Row],[% NDT Prog.
Percent. Insp.]]</f>
        <v>39556.319582352902</v>
      </c>
      <c r="L69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69" s="15">
        <f>IF(tblProgress23[[#This Row],[% NDT Prog.
Percent. Insp.]]&lt;1,0,1*tblProgress23[[#This Row],[Weight Project
Peso do Projeto]])</f>
        <v>39556.319582352902</v>
      </c>
      <c r="N69" s="18">
        <f>IF(tblProgress23[[#This Row],[% NDT Prog.
Percent. Insp.]]&lt;1,0,1)</f>
        <v>1</v>
      </c>
    </row>
    <row r="70" spans="2:14" x14ac:dyDescent="0.25">
      <c r="B70" s="1" t="s">
        <v>26</v>
      </c>
      <c r="C70" s="1" t="s">
        <v>54</v>
      </c>
      <c r="D70" s="1" t="s">
        <v>88</v>
      </c>
      <c r="E70" s="1" t="s">
        <v>164</v>
      </c>
      <c r="F70" s="15">
        <v>37721.30214</v>
      </c>
      <c r="G70" s="15">
        <f>tblProgress23[[#This Row],[Weight Project
Peso do Projeto]]*tblProgress23[[#This Row],[% F. Prog.
Percent. Aju.]]</f>
        <v>37721.30214</v>
      </c>
      <c r="H70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70" s="15">
        <f>tblProgress23[[#This Row],[Weight Project
Peso do Projeto]]*tblProgress23[[#This Row],[% W. Prog.
Percent. Sold.]]</f>
        <v>37721.30214</v>
      </c>
      <c r="J70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70" s="15">
        <f>tblProgress23[[#This Row],[Weight Project
Peso do Projeto]]*tblProgress23[[#This Row],[% NDT Prog.
Percent. Insp.]]</f>
        <v>37721.30214</v>
      </c>
      <c r="L70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70" s="15">
        <f>IF(tblProgress23[[#This Row],[% NDT Prog.
Percent. Insp.]]&lt;1,0,1*tblProgress23[[#This Row],[Weight Project
Peso do Projeto]])</f>
        <v>37721.30214</v>
      </c>
      <c r="N70" s="18">
        <f>IF(tblProgress23[[#This Row],[% NDT Prog.
Percent. Insp.]]&lt;1,0,1)</f>
        <v>1</v>
      </c>
    </row>
    <row r="71" spans="2:14" x14ac:dyDescent="0.25">
      <c r="B71" s="1" t="s">
        <v>26</v>
      </c>
      <c r="C71" s="1" t="s">
        <v>54</v>
      </c>
      <c r="D71" s="1" t="s">
        <v>88</v>
      </c>
      <c r="E71" s="1" t="s">
        <v>165</v>
      </c>
      <c r="F71" s="15">
        <v>25147.534759999999</v>
      </c>
      <c r="G71" s="15">
        <f>tblProgress23[[#This Row],[Weight Project
Peso do Projeto]]*tblProgress23[[#This Row],[% F. Prog.
Percent. Aju.]]</f>
        <v>25147.534759999999</v>
      </c>
      <c r="H71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71" s="15">
        <f>tblProgress23[[#This Row],[Weight Project
Peso do Projeto]]*tblProgress23[[#This Row],[% W. Prog.
Percent. Sold.]]</f>
        <v>25147.534759999999</v>
      </c>
      <c r="J71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71" s="15">
        <f>tblProgress23[[#This Row],[Weight Project
Peso do Projeto]]*tblProgress23[[#This Row],[% NDT Prog.
Percent. Insp.]]</f>
        <v>25147.534759999999</v>
      </c>
      <c r="L71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71" s="15">
        <f>IF(tblProgress23[[#This Row],[% NDT Prog.
Percent. Insp.]]&lt;1,0,1*tblProgress23[[#This Row],[Weight Project
Peso do Projeto]])</f>
        <v>25147.534759999999</v>
      </c>
      <c r="N71" s="18">
        <f>IF(tblProgress23[[#This Row],[% NDT Prog.
Percent. Insp.]]&lt;1,0,1)</f>
        <v>1</v>
      </c>
    </row>
    <row r="72" spans="2:14" x14ac:dyDescent="0.25">
      <c r="B72" s="1" t="s">
        <v>26</v>
      </c>
      <c r="C72" s="1" t="s">
        <v>54</v>
      </c>
      <c r="D72" s="1" t="s">
        <v>91</v>
      </c>
      <c r="E72" s="1" t="s">
        <v>164</v>
      </c>
      <c r="F72" s="15">
        <v>72245.606666666718</v>
      </c>
      <c r="G72" s="15">
        <f>tblProgress23[[#This Row],[Weight Project
Peso do Projeto]]*tblProgress23[[#This Row],[% F. Prog.
Percent. Aju.]]</f>
        <v>72245.606666666718</v>
      </c>
      <c r="H72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72" s="15">
        <f>tblProgress23[[#This Row],[Weight Project
Peso do Projeto]]*tblProgress23[[#This Row],[% W. Prog.
Percent. Sold.]]</f>
        <v>72245.606666666718</v>
      </c>
      <c r="J72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72" s="15">
        <f>tblProgress23[[#This Row],[Weight Project
Peso do Projeto]]*tblProgress23[[#This Row],[% NDT Prog.
Percent. Insp.]]</f>
        <v>72245.606666666718</v>
      </c>
      <c r="L72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72" s="15">
        <f>IF(tblProgress23[[#This Row],[% NDT Prog.
Percent. Insp.]]&lt;1,0,1*tblProgress23[[#This Row],[Weight Project
Peso do Projeto]])</f>
        <v>72245.606666666718</v>
      </c>
      <c r="N72" s="18">
        <f>IF(tblProgress23[[#This Row],[% NDT Prog.
Percent. Insp.]]&lt;1,0,1)</f>
        <v>1</v>
      </c>
    </row>
    <row r="73" spans="2:14" x14ac:dyDescent="0.25">
      <c r="B73" s="1" t="s">
        <v>26</v>
      </c>
      <c r="C73" s="1" t="s">
        <v>54</v>
      </c>
      <c r="D73" s="1" t="s">
        <v>91</v>
      </c>
      <c r="E73" s="1" t="s">
        <v>165</v>
      </c>
      <c r="F73" s="15">
        <v>46636.153333333321</v>
      </c>
      <c r="G73" s="15">
        <f>tblProgress23[[#This Row],[Weight Project
Peso do Projeto]]*tblProgress23[[#This Row],[% F. Prog.
Percent. Aju.]]</f>
        <v>46636.153333333321</v>
      </c>
      <c r="H73" s="146">
        <f>IFERROR(SUMIFS(Dados!$F$2:$F$69,Dados!$D$2:$D$69,tblProgress23[[#This Row],[Part
Area]],Dados!$C$2:$C$69,tblProgress23[[#This Row],[Block
DM]])/SUMIFS(Dados!$E$2:$E$69,Dados!$D$2:$D$69,tblProgress23[[#This Row],[Part
Area]],Dados!$C$2:$C$69,tblProgress23[[#This Row],[Block
DM]]),"-")</f>
        <v>1</v>
      </c>
      <c r="I73" s="15">
        <f>tblProgress23[[#This Row],[Weight Project
Peso do Projeto]]*tblProgress23[[#This Row],[% W. Prog.
Percent. Sold.]]</f>
        <v>46636.153333333321</v>
      </c>
      <c r="J73" s="18">
        <f>IFERROR(SUMIFS(Dados!$G$2:$G$69,Dados!$D$2:$D$69,tblProgress23[[#This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K73" s="15">
        <f>tblProgress23[[#This Row],[Weight Project
Peso do Projeto]]*tblProgress23[[#This Row],[% NDT Prog.
Percent. Insp.]]</f>
        <v>46636.153333333321</v>
      </c>
      <c r="L73" s="18">
        <f>IFERROR(SUMIFS(Dados!$H$2:$H$69,Dados!$D$2:$D$69,tblProgress23[[#This Row],[Part
Area]],Dados!$C$2:$C$69,tblProgress23[[#This Row],[Block
DM]])/SUMIFS(Dados!$E$2:$E$69,Dados!$D$2:$D$69,tblProgress23[[#This Row],[Part
Area]],Dados!$C$2:$C$69,tblProgress23[[#This Row],[Block
DM]]),0)</f>
        <v>1</v>
      </c>
      <c r="M73" s="15">
        <f>IF(tblProgress23[[#This Row],[% NDT Prog.
Percent. Insp.]]&lt;1,0,1*tblProgress23[[#This Row],[Weight Project
Peso do Projeto]])</f>
        <v>46636.153333333321</v>
      </c>
      <c r="N73" s="18">
        <f>IF(tblProgress23[[#This Row],[% NDT Prog.
Percent. Insp.]]&lt;1,0,1)</f>
        <v>1</v>
      </c>
    </row>
    <row r="74" spans="2:14" x14ac:dyDescent="0.25">
      <c r="B74" s="139" t="s">
        <v>25</v>
      </c>
      <c r="C74" s="139"/>
      <c r="D74" s="139"/>
      <c r="E74" s="139"/>
      <c r="F74" s="140">
        <f>SUBTOTAL(109,tblProgress23[Weight Project
Peso do Projeto])</f>
        <v>3515350.6963235261</v>
      </c>
      <c r="G74" s="141">
        <f>SUBTOTAL(109,tblProgress23[F. Weight
Peso Aju.])</f>
        <v>3515350.6963235261</v>
      </c>
      <c r="H74" s="142"/>
      <c r="I74" s="141">
        <f>SUBTOTAL(109,tblProgress23[W. Weight
Peso Sold.])</f>
        <v>3515350.6963235261</v>
      </c>
      <c r="J74" s="142"/>
      <c r="K74" s="141">
        <f>SUBTOTAL(109,tblProgress23[NDT Weight
Peso Insp.])</f>
        <v>3515350.6963235261</v>
      </c>
      <c r="L74" s="142"/>
      <c r="M74" s="141">
        <f>SUBTOTAL(109,tblProgress23[Weight
Peso Dim])</f>
        <v>3515350.6963235261</v>
      </c>
      <c r="N74" s="142"/>
    </row>
    <row r="76" spans="2:14" x14ac:dyDescent="0.25">
      <c r="F76" s="15"/>
      <c r="G76" s="15"/>
      <c r="H76" s="15"/>
      <c r="I76" s="15"/>
      <c r="K76" s="15"/>
      <c r="M76" s="15"/>
    </row>
    <row r="77" spans="2:14" x14ac:dyDescent="0.25">
      <c r="I77" s="94"/>
    </row>
    <row r="78" spans="2:14" x14ac:dyDescent="0.25">
      <c r="G78" s="15"/>
    </row>
    <row r="79" spans="2:14" x14ac:dyDescent="0.25">
      <c r="D79"/>
      <c r="E79"/>
      <c r="F79"/>
      <c r="G79"/>
    </row>
    <row r="80" spans="2:14" x14ac:dyDescent="0.25">
      <c r="G80" s="15"/>
      <c r="K80" s="15"/>
    </row>
    <row r="81" spans="6:6" x14ac:dyDescent="0.25">
      <c r="F81" s="150"/>
    </row>
    <row r="87" spans="6:6" x14ac:dyDescent="0.25">
      <c r="F87" s="151"/>
    </row>
  </sheetData>
  <mergeCells count="11">
    <mergeCell ref="B2:C3"/>
    <mergeCell ref="D2:K3"/>
    <mergeCell ref="L2:N3"/>
    <mergeCell ref="G5:H5"/>
    <mergeCell ref="I5:J5"/>
    <mergeCell ref="L5:N5"/>
    <mergeCell ref="B6:F6"/>
    <mergeCell ref="G6:H6"/>
    <mergeCell ref="I6:J6"/>
    <mergeCell ref="K6:L6"/>
    <mergeCell ref="M6:N6"/>
  </mergeCells>
  <pageMargins left="0.51181102362204722" right="0.51181102362204722" top="0.59055118110236227" bottom="0.98425196850393704" header="0.31496062992125984" footer="0.31496062992125984"/>
  <pageSetup paperSize="9" scale="65" fitToHeight="0" orientation="landscape" r:id="rId1"/>
  <headerFooter>
    <oddHeader>&amp;LISI Engenharia Comércio LTDA&amp;C&amp;D&amp;R&amp;P / &amp;N</oddHeader>
    <oddFooter>&amp;C&amp;G</oddFooter>
  </headerFooter>
  <drawing r:id="rId2"/>
  <legacyDrawingHF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BF2D7-E554-459A-AB2D-E1517E1CDB69}">
  <dimension ref="A1:Q68"/>
  <sheetViews>
    <sheetView workbookViewId="0">
      <selection activeCell="A2" sqref="A2:H68"/>
    </sheetView>
  </sheetViews>
  <sheetFormatPr defaultRowHeight="15" x14ac:dyDescent="0.25"/>
  <cols>
    <col min="1" max="1" width="11.140625" bestFit="1" customWidth="1"/>
    <col min="2" max="2" width="11.28515625" bestFit="1" customWidth="1"/>
    <col min="3" max="3" width="12.5703125" bestFit="1" customWidth="1"/>
    <col min="4" max="4" width="16.85546875" bestFit="1" customWidth="1"/>
    <col min="5" max="5" width="5" bestFit="1" customWidth="1"/>
    <col min="6" max="6" width="7.5703125" bestFit="1" customWidth="1"/>
    <col min="7" max="7" width="7.140625" bestFit="1" customWidth="1"/>
    <col min="8" max="8" width="7.5703125" bestFit="1" customWidth="1"/>
  </cols>
  <sheetData>
    <row r="1" spans="1:17" x14ac:dyDescent="0.25">
      <c r="A1" t="s">
        <v>218</v>
      </c>
      <c r="B1" t="s">
        <v>231</v>
      </c>
      <c r="C1" t="s">
        <v>177</v>
      </c>
      <c r="D1" t="s">
        <v>178</v>
      </c>
      <c r="E1" t="s">
        <v>256</v>
      </c>
      <c r="F1" t="s">
        <v>255</v>
      </c>
      <c r="G1" t="s">
        <v>257</v>
      </c>
      <c r="H1" t="s">
        <v>258</v>
      </c>
    </row>
    <row r="2" spans="1:17" x14ac:dyDescent="0.25">
      <c r="A2" t="s">
        <v>26</v>
      </c>
      <c r="B2" t="s">
        <v>54</v>
      </c>
      <c r="C2" t="s">
        <v>82</v>
      </c>
      <c r="D2" t="s">
        <v>83</v>
      </c>
      <c r="E2">
        <v>1</v>
      </c>
      <c r="F2">
        <v>1</v>
      </c>
      <c r="G2">
        <v>1</v>
      </c>
      <c r="H2">
        <v>1</v>
      </c>
    </row>
    <row r="3" spans="1:17" x14ac:dyDescent="0.25">
      <c r="A3" t="s">
        <v>26</v>
      </c>
      <c r="B3" t="s">
        <v>54</v>
      </c>
      <c r="C3" t="s">
        <v>84</v>
      </c>
      <c r="D3" t="s">
        <v>83</v>
      </c>
      <c r="E3">
        <v>1</v>
      </c>
      <c r="F3">
        <v>1</v>
      </c>
      <c r="G3">
        <v>1</v>
      </c>
      <c r="H3">
        <v>1</v>
      </c>
    </row>
    <row r="4" spans="1:17" x14ac:dyDescent="0.25">
      <c r="A4" t="s">
        <v>26</v>
      </c>
      <c r="B4" t="s">
        <v>54</v>
      </c>
      <c r="C4" t="s">
        <v>94</v>
      </c>
      <c r="D4" t="s">
        <v>101</v>
      </c>
      <c r="E4">
        <v>9</v>
      </c>
      <c r="F4">
        <v>9</v>
      </c>
      <c r="G4">
        <v>9</v>
      </c>
      <c r="H4">
        <v>9</v>
      </c>
    </row>
    <row r="5" spans="1:17" x14ac:dyDescent="0.25">
      <c r="A5" t="s">
        <v>26</v>
      </c>
      <c r="B5" t="s">
        <v>54</v>
      </c>
      <c r="C5" t="s">
        <v>94</v>
      </c>
      <c r="D5" t="s">
        <v>259</v>
      </c>
      <c r="E5">
        <v>9</v>
      </c>
      <c r="F5">
        <v>9</v>
      </c>
      <c r="G5">
        <v>9</v>
      </c>
      <c r="H5">
        <v>9</v>
      </c>
    </row>
    <row r="6" spans="1:17" x14ac:dyDescent="0.25">
      <c r="A6" t="s">
        <v>26</v>
      </c>
      <c r="B6" t="s">
        <v>54</v>
      </c>
      <c r="C6" t="s">
        <v>93</v>
      </c>
      <c r="D6" t="s">
        <v>59</v>
      </c>
      <c r="E6">
        <v>1</v>
      </c>
      <c r="F6">
        <v>1</v>
      </c>
      <c r="G6">
        <v>1</v>
      </c>
      <c r="H6">
        <v>1</v>
      </c>
    </row>
    <row r="7" spans="1:17" x14ac:dyDescent="0.25">
      <c r="A7" t="s">
        <v>26</v>
      </c>
      <c r="B7" t="s">
        <v>54</v>
      </c>
      <c r="C7" t="s">
        <v>78</v>
      </c>
      <c r="D7" t="s">
        <v>59</v>
      </c>
      <c r="E7">
        <v>1</v>
      </c>
      <c r="F7">
        <v>1</v>
      </c>
      <c r="G7">
        <v>1</v>
      </c>
      <c r="H7">
        <v>1</v>
      </c>
    </row>
    <row r="8" spans="1:17" x14ac:dyDescent="0.25">
      <c r="A8" t="s">
        <v>26</v>
      </c>
      <c r="B8" t="s">
        <v>54</v>
      </c>
      <c r="C8" t="s">
        <v>79</v>
      </c>
      <c r="D8" t="s">
        <v>59</v>
      </c>
      <c r="E8">
        <v>77</v>
      </c>
      <c r="F8">
        <v>77</v>
      </c>
      <c r="G8">
        <v>77</v>
      </c>
      <c r="H8">
        <v>77</v>
      </c>
    </row>
    <row r="9" spans="1:17" x14ac:dyDescent="0.25">
      <c r="A9" t="s">
        <v>26</v>
      </c>
      <c r="B9" t="s">
        <v>54</v>
      </c>
      <c r="C9" t="s">
        <v>80</v>
      </c>
      <c r="D9" t="s">
        <v>59</v>
      </c>
      <c r="E9">
        <v>1</v>
      </c>
      <c r="F9">
        <v>1</v>
      </c>
      <c r="G9">
        <v>1</v>
      </c>
      <c r="H9">
        <v>1</v>
      </c>
      <c r="M9">
        <v>1000</v>
      </c>
      <c r="N9">
        <v>10</v>
      </c>
      <c r="O9">
        <v>8</v>
      </c>
      <c r="P9" s="149">
        <f>O9/N9</f>
        <v>0.8</v>
      </c>
      <c r="Q9">
        <f>P9*M9</f>
        <v>800</v>
      </c>
    </row>
    <row r="10" spans="1:17" x14ac:dyDescent="0.25">
      <c r="A10" t="s">
        <v>26</v>
      </c>
      <c r="B10" t="s">
        <v>54</v>
      </c>
      <c r="C10" t="s">
        <v>89</v>
      </c>
      <c r="D10" t="s">
        <v>59</v>
      </c>
      <c r="E10">
        <v>1</v>
      </c>
      <c r="F10">
        <v>1</v>
      </c>
      <c r="G10">
        <v>1</v>
      </c>
      <c r="H10">
        <v>1</v>
      </c>
      <c r="P10" s="149">
        <f>Q9/M9</f>
        <v>0.8</v>
      </c>
    </row>
    <row r="11" spans="1:17" x14ac:dyDescent="0.25">
      <c r="A11" t="s">
        <v>26</v>
      </c>
      <c r="B11" t="s">
        <v>54</v>
      </c>
      <c r="C11" t="s">
        <v>90</v>
      </c>
      <c r="D11" t="s">
        <v>59</v>
      </c>
      <c r="E11">
        <v>1</v>
      </c>
      <c r="F11">
        <v>1</v>
      </c>
      <c r="G11">
        <v>1</v>
      </c>
      <c r="H11">
        <v>1</v>
      </c>
    </row>
    <row r="12" spans="1:17" x14ac:dyDescent="0.25">
      <c r="A12" t="s">
        <v>26</v>
      </c>
      <c r="B12" t="s">
        <v>54</v>
      </c>
      <c r="C12" t="s">
        <v>87</v>
      </c>
      <c r="D12" t="s">
        <v>59</v>
      </c>
      <c r="E12">
        <v>2</v>
      </c>
      <c r="F12">
        <v>2</v>
      </c>
      <c r="G12">
        <v>2</v>
      </c>
      <c r="H12">
        <v>2</v>
      </c>
    </row>
    <row r="13" spans="1:17" x14ac:dyDescent="0.25">
      <c r="A13" t="s">
        <v>26</v>
      </c>
      <c r="B13" t="s">
        <v>54</v>
      </c>
      <c r="C13" t="s">
        <v>58</v>
      </c>
      <c r="D13" t="s">
        <v>59</v>
      </c>
      <c r="E13">
        <v>42</v>
      </c>
      <c r="F13">
        <v>42</v>
      </c>
      <c r="G13">
        <v>42</v>
      </c>
      <c r="H13">
        <v>42</v>
      </c>
    </row>
    <row r="14" spans="1:17" x14ac:dyDescent="0.25">
      <c r="A14" t="s">
        <v>26</v>
      </c>
      <c r="B14" t="s">
        <v>54</v>
      </c>
      <c r="C14" t="s">
        <v>77</v>
      </c>
      <c r="D14" t="s">
        <v>59</v>
      </c>
      <c r="E14">
        <v>18</v>
      </c>
      <c r="F14">
        <v>18</v>
      </c>
      <c r="G14">
        <v>18</v>
      </c>
      <c r="H14">
        <v>18</v>
      </c>
    </row>
    <row r="15" spans="1:17" x14ac:dyDescent="0.25">
      <c r="A15" t="s">
        <v>26</v>
      </c>
      <c r="B15" t="s">
        <v>27</v>
      </c>
      <c r="C15" t="s">
        <v>154</v>
      </c>
      <c r="D15" t="s">
        <v>155</v>
      </c>
      <c r="E15">
        <v>57</v>
      </c>
      <c r="F15">
        <v>57</v>
      </c>
      <c r="G15">
        <v>57</v>
      </c>
      <c r="H15">
        <v>57</v>
      </c>
    </row>
    <row r="16" spans="1:17" x14ac:dyDescent="0.25">
      <c r="A16" t="s">
        <v>26</v>
      </c>
      <c r="B16" t="s">
        <v>27</v>
      </c>
      <c r="C16" t="s">
        <v>28</v>
      </c>
      <c r="D16" t="s">
        <v>30</v>
      </c>
      <c r="E16">
        <v>79</v>
      </c>
      <c r="F16">
        <v>79</v>
      </c>
      <c r="G16">
        <v>79</v>
      </c>
      <c r="H16">
        <v>79</v>
      </c>
    </row>
    <row r="17" spans="1:8" x14ac:dyDescent="0.25">
      <c r="A17" t="s">
        <v>26</v>
      </c>
      <c r="B17" t="s">
        <v>27</v>
      </c>
      <c r="C17" t="s">
        <v>96</v>
      </c>
      <c r="D17" t="s">
        <v>32</v>
      </c>
      <c r="E17">
        <v>23</v>
      </c>
      <c r="F17">
        <v>23</v>
      </c>
      <c r="G17">
        <v>23</v>
      </c>
      <c r="H17">
        <v>23</v>
      </c>
    </row>
    <row r="18" spans="1:8" x14ac:dyDescent="0.25">
      <c r="A18" t="s">
        <v>26</v>
      </c>
      <c r="B18" t="s">
        <v>27</v>
      </c>
      <c r="C18" t="s">
        <v>31</v>
      </c>
      <c r="D18" t="s">
        <v>33</v>
      </c>
      <c r="E18">
        <v>348</v>
      </c>
      <c r="F18">
        <v>348</v>
      </c>
      <c r="G18">
        <v>348</v>
      </c>
      <c r="H18">
        <v>348</v>
      </c>
    </row>
    <row r="19" spans="1:8" x14ac:dyDescent="0.25">
      <c r="A19" t="s">
        <v>26</v>
      </c>
      <c r="B19" t="s">
        <v>27</v>
      </c>
      <c r="C19" t="s">
        <v>97</v>
      </c>
      <c r="D19" t="s">
        <v>35</v>
      </c>
      <c r="E19">
        <v>22</v>
      </c>
      <c r="F19">
        <v>22</v>
      </c>
      <c r="G19">
        <v>22</v>
      </c>
      <c r="H19">
        <v>22</v>
      </c>
    </row>
    <row r="20" spans="1:8" x14ac:dyDescent="0.25">
      <c r="A20" t="s">
        <v>26</v>
      </c>
      <c r="B20" t="s">
        <v>27</v>
      </c>
      <c r="C20" t="s">
        <v>34</v>
      </c>
      <c r="D20" t="s">
        <v>36</v>
      </c>
      <c r="E20">
        <v>32</v>
      </c>
      <c r="F20">
        <v>32</v>
      </c>
      <c r="G20">
        <v>32</v>
      </c>
      <c r="H20">
        <v>32</v>
      </c>
    </row>
    <row r="21" spans="1:8" x14ac:dyDescent="0.25">
      <c r="A21" t="s">
        <v>26</v>
      </c>
      <c r="B21" t="s">
        <v>37</v>
      </c>
      <c r="C21" t="s">
        <v>38</v>
      </c>
      <c r="D21" t="s">
        <v>30</v>
      </c>
      <c r="E21">
        <v>220</v>
      </c>
      <c r="F21">
        <v>220</v>
      </c>
      <c r="G21">
        <v>220</v>
      </c>
      <c r="H21">
        <v>220</v>
      </c>
    </row>
    <row r="22" spans="1:8" x14ac:dyDescent="0.25">
      <c r="A22" t="s">
        <v>26</v>
      </c>
      <c r="B22" t="s">
        <v>37</v>
      </c>
      <c r="C22" t="s">
        <v>98</v>
      </c>
      <c r="D22" t="s">
        <v>40</v>
      </c>
      <c r="E22">
        <v>32</v>
      </c>
      <c r="F22">
        <v>32</v>
      </c>
      <c r="G22">
        <v>32</v>
      </c>
      <c r="H22">
        <v>32</v>
      </c>
    </row>
    <row r="23" spans="1:8" x14ac:dyDescent="0.25">
      <c r="A23" t="s">
        <v>26</v>
      </c>
      <c r="B23" t="s">
        <v>37</v>
      </c>
      <c r="C23" t="s">
        <v>39</v>
      </c>
      <c r="D23" t="s">
        <v>41</v>
      </c>
      <c r="E23">
        <v>76</v>
      </c>
      <c r="F23">
        <v>76</v>
      </c>
      <c r="G23">
        <v>76</v>
      </c>
      <c r="H23">
        <v>76</v>
      </c>
    </row>
    <row r="24" spans="1:8" x14ac:dyDescent="0.25">
      <c r="A24" t="s">
        <v>26</v>
      </c>
      <c r="B24" t="s">
        <v>48</v>
      </c>
      <c r="C24" t="s">
        <v>50</v>
      </c>
      <c r="D24" t="s">
        <v>30</v>
      </c>
      <c r="E24">
        <v>74</v>
      </c>
      <c r="F24">
        <v>74</v>
      </c>
      <c r="G24">
        <v>74</v>
      </c>
      <c r="H24">
        <v>74</v>
      </c>
    </row>
    <row r="25" spans="1:8" x14ac:dyDescent="0.25">
      <c r="A25" t="s">
        <v>26</v>
      </c>
      <c r="B25" t="s">
        <v>48</v>
      </c>
      <c r="C25" t="s">
        <v>99</v>
      </c>
      <c r="D25" t="s">
        <v>40</v>
      </c>
      <c r="E25">
        <v>27</v>
      </c>
      <c r="F25">
        <v>27</v>
      </c>
      <c r="G25">
        <v>27</v>
      </c>
      <c r="H25">
        <v>27</v>
      </c>
    </row>
    <row r="26" spans="1:8" x14ac:dyDescent="0.25">
      <c r="A26" t="s">
        <v>26</v>
      </c>
      <c r="B26" t="s">
        <v>48</v>
      </c>
      <c r="C26" t="s">
        <v>49</v>
      </c>
      <c r="D26" t="s">
        <v>41</v>
      </c>
      <c r="E26">
        <v>64</v>
      </c>
      <c r="F26">
        <v>64</v>
      </c>
      <c r="G26">
        <v>64</v>
      </c>
      <c r="H26">
        <v>64</v>
      </c>
    </row>
    <row r="27" spans="1:8" x14ac:dyDescent="0.25">
      <c r="A27" t="s">
        <v>26</v>
      </c>
      <c r="B27" t="s">
        <v>48</v>
      </c>
      <c r="C27" t="s">
        <v>53</v>
      </c>
      <c r="D27" t="s">
        <v>30</v>
      </c>
      <c r="E27">
        <v>1</v>
      </c>
      <c r="F27">
        <v>1</v>
      </c>
      <c r="G27">
        <v>1</v>
      </c>
      <c r="H27">
        <v>1</v>
      </c>
    </row>
    <row r="28" spans="1:8" x14ac:dyDescent="0.25">
      <c r="A28" t="s">
        <v>26</v>
      </c>
      <c r="B28" t="s">
        <v>42</v>
      </c>
      <c r="C28" t="s">
        <v>92</v>
      </c>
      <c r="D28" t="s">
        <v>30</v>
      </c>
      <c r="E28">
        <v>51</v>
      </c>
      <c r="F28">
        <v>51</v>
      </c>
      <c r="G28">
        <v>51</v>
      </c>
      <c r="H28">
        <v>51</v>
      </c>
    </row>
    <row r="29" spans="1:8" x14ac:dyDescent="0.25">
      <c r="A29" t="s">
        <v>26</v>
      </c>
      <c r="B29" t="s">
        <v>42</v>
      </c>
      <c r="C29" t="s">
        <v>100</v>
      </c>
      <c r="D29" t="s">
        <v>40</v>
      </c>
      <c r="E29">
        <v>24</v>
      </c>
      <c r="F29">
        <v>24</v>
      </c>
      <c r="G29">
        <v>24</v>
      </c>
      <c r="H29">
        <v>24</v>
      </c>
    </row>
    <row r="30" spans="1:8" x14ac:dyDescent="0.25">
      <c r="A30" t="s">
        <v>26</v>
      </c>
      <c r="B30" t="s">
        <v>42</v>
      </c>
      <c r="C30" t="s">
        <v>44</v>
      </c>
      <c r="D30" t="s">
        <v>41</v>
      </c>
      <c r="E30">
        <v>41</v>
      </c>
      <c r="F30">
        <v>41</v>
      </c>
      <c r="G30">
        <v>41</v>
      </c>
      <c r="H30">
        <v>41</v>
      </c>
    </row>
    <row r="31" spans="1:8" x14ac:dyDescent="0.25">
      <c r="A31" t="s">
        <v>26</v>
      </c>
      <c r="B31" t="s">
        <v>42</v>
      </c>
      <c r="C31" t="s">
        <v>156</v>
      </c>
      <c r="D31" t="s">
        <v>157</v>
      </c>
      <c r="E31">
        <v>28</v>
      </c>
      <c r="F31">
        <v>28</v>
      </c>
      <c r="G31">
        <v>28</v>
      </c>
      <c r="H31">
        <v>28</v>
      </c>
    </row>
    <row r="32" spans="1:8" x14ac:dyDescent="0.25">
      <c r="A32" t="s">
        <v>26</v>
      </c>
      <c r="B32" t="s">
        <v>42</v>
      </c>
      <c r="C32" t="s">
        <v>45</v>
      </c>
      <c r="D32" t="s">
        <v>46</v>
      </c>
      <c r="E32">
        <v>41</v>
      </c>
      <c r="F32">
        <v>41</v>
      </c>
      <c r="G32">
        <v>41</v>
      </c>
      <c r="H32">
        <v>41</v>
      </c>
    </row>
    <row r="33" spans="1:8" x14ac:dyDescent="0.25">
      <c r="A33" t="s">
        <v>26</v>
      </c>
      <c r="B33" t="s">
        <v>42</v>
      </c>
      <c r="C33" t="s">
        <v>158</v>
      </c>
      <c r="D33" t="s">
        <v>30</v>
      </c>
      <c r="E33">
        <v>12</v>
      </c>
      <c r="F33">
        <v>12</v>
      </c>
      <c r="G33">
        <v>12</v>
      </c>
      <c r="H33">
        <v>12</v>
      </c>
    </row>
    <row r="34" spans="1:8" x14ac:dyDescent="0.25">
      <c r="A34" t="s">
        <v>26</v>
      </c>
      <c r="B34" t="s">
        <v>47</v>
      </c>
      <c r="C34" t="s">
        <v>47</v>
      </c>
      <c r="D34" t="s">
        <v>30</v>
      </c>
      <c r="E34">
        <v>114</v>
      </c>
      <c r="F34">
        <v>114</v>
      </c>
      <c r="G34">
        <v>114</v>
      </c>
      <c r="H34">
        <v>114</v>
      </c>
    </row>
    <row r="35" spans="1:8" x14ac:dyDescent="0.25">
      <c r="A35" t="s">
        <v>26</v>
      </c>
      <c r="B35" t="s">
        <v>51</v>
      </c>
      <c r="C35" t="s">
        <v>73</v>
      </c>
      <c r="D35" t="s">
        <v>159</v>
      </c>
      <c r="E35">
        <v>17</v>
      </c>
      <c r="F35">
        <v>17</v>
      </c>
      <c r="G35">
        <v>17</v>
      </c>
      <c r="H35">
        <v>17</v>
      </c>
    </row>
    <row r="36" spans="1:8" x14ac:dyDescent="0.25">
      <c r="A36" t="s">
        <v>26</v>
      </c>
      <c r="B36" t="s">
        <v>51</v>
      </c>
      <c r="C36" t="s">
        <v>73</v>
      </c>
      <c r="D36" t="s">
        <v>160</v>
      </c>
      <c r="E36">
        <v>13</v>
      </c>
      <c r="F36">
        <v>13</v>
      </c>
      <c r="G36">
        <v>13</v>
      </c>
      <c r="H36">
        <v>13</v>
      </c>
    </row>
    <row r="37" spans="1:8" x14ac:dyDescent="0.25">
      <c r="A37" t="s">
        <v>26</v>
      </c>
      <c r="B37" t="s">
        <v>51</v>
      </c>
      <c r="C37" t="s">
        <v>73</v>
      </c>
      <c r="D37" t="s">
        <v>46</v>
      </c>
      <c r="E37">
        <v>4</v>
      </c>
      <c r="F37">
        <v>4</v>
      </c>
      <c r="G37">
        <v>4</v>
      </c>
      <c r="H37">
        <v>4</v>
      </c>
    </row>
    <row r="38" spans="1:8" x14ac:dyDescent="0.25">
      <c r="A38" t="s">
        <v>26</v>
      </c>
      <c r="B38" t="s">
        <v>51</v>
      </c>
      <c r="C38" t="s">
        <v>73</v>
      </c>
      <c r="D38" t="s">
        <v>161</v>
      </c>
      <c r="E38">
        <v>10</v>
      </c>
      <c r="F38">
        <v>10</v>
      </c>
      <c r="G38">
        <v>10</v>
      </c>
      <c r="H38">
        <v>10</v>
      </c>
    </row>
    <row r="39" spans="1:8" x14ac:dyDescent="0.25">
      <c r="A39" t="s">
        <v>26</v>
      </c>
      <c r="B39" t="s">
        <v>51</v>
      </c>
      <c r="C39" t="s">
        <v>72</v>
      </c>
      <c r="D39" t="s">
        <v>159</v>
      </c>
      <c r="E39">
        <v>1</v>
      </c>
      <c r="F39">
        <v>1</v>
      </c>
      <c r="G39">
        <v>1</v>
      </c>
      <c r="H39">
        <v>1</v>
      </c>
    </row>
    <row r="40" spans="1:8" x14ac:dyDescent="0.25">
      <c r="A40" t="s">
        <v>26</v>
      </c>
      <c r="B40" t="s">
        <v>51</v>
      </c>
      <c r="C40" t="s">
        <v>72</v>
      </c>
      <c r="D40" t="s">
        <v>160</v>
      </c>
      <c r="E40">
        <v>1</v>
      </c>
      <c r="F40">
        <v>1</v>
      </c>
      <c r="G40">
        <v>1</v>
      </c>
      <c r="H40">
        <v>1</v>
      </c>
    </row>
    <row r="41" spans="1:8" x14ac:dyDescent="0.25">
      <c r="A41" t="s">
        <v>26</v>
      </c>
      <c r="B41" t="s">
        <v>51</v>
      </c>
      <c r="C41" t="s">
        <v>69</v>
      </c>
      <c r="D41" t="s">
        <v>159</v>
      </c>
      <c r="E41">
        <v>1</v>
      </c>
      <c r="F41">
        <v>1</v>
      </c>
      <c r="G41">
        <v>1</v>
      </c>
      <c r="H41">
        <v>1</v>
      </c>
    </row>
    <row r="42" spans="1:8" x14ac:dyDescent="0.25">
      <c r="A42" t="s">
        <v>26</v>
      </c>
      <c r="B42" t="s">
        <v>51</v>
      </c>
      <c r="C42" t="s">
        <v>69</v>
      </c>
      <c r="D42" t="s">
        <v>160</v>
      </c>
      <c r="E42">
        <v>1</v>
      </c>
      <c r="F42">
        <v>1</v>
      </c>
      <c r="G42">
        <v>1</v>
      </c>
      <c r="H42">
        <v>1</v>
      </c>
    </row>
    <row r="43" spans="1:8" x14ac:dyDescent="0.25">
      <c r="A43" t="s">
        <v>26</v>
      </c>
      <c r="B43" t="s">
        <v>51</v>
      </c>
      <c r="C43" t="s">
        <v>68</v>
      </c>
      <c r="D43" t="s">
        <v>159</v>
      </c>
      <c r="E43">
        <v>30</v>
      </c>
      <c r="F43">
        <v>30</v>
      </c>
      <c r="G43">
        <v>30</v>
      </c>
      <c r="H43">
        <v>30</v>
      </c>
    </row>
    <row r="44" spans="1:8" x14ac:dyDescent="0.25">
      <c r="A44" t="s">
        <v>26</v>
      </c>
      <c r="B44" t="s">
        <v>51</v>
      </c>
      <c r="C44" t="s">
        <v>68</v>
      </c>
      <c r="D44" t="s">
        <v>160</v>
      </c>
      <c r="E44">
        <v>2</v>
      </c>
      <c r="F44">
        <v>2</v>
      </c>
      <c r="G44">
        <v>2</v>
      </c>
      <c r="H44">
        <v>2</v>
      </c>
    </row>
    <row r="45" spans="1:8" x14ac:dyDescent="0.25">
      <c r="A45" t="s">
        <v>26</v>
      </c>
      <c r="B45" t="s">
        <v>51</v>
      </c>
      <c r="C45" t="s">
        <v>60</v>
      </c>
      <c r="D45" t="s">
        <v>159</v>
      </c>
      <c r="E45">
        <v>36</v>
      </c>
      <c r="F45">
        <v>36</v>
      </c>
      <c r="G45">
        <v>36</v>
      </c>
      <c r="H45">
        <v>36</v>
      </c>
    </row>
    <row r="46" spans="1:8" x14ac:dyDescent="0.25">
      <c r="A46" t="s">
        <v>26</v>
      </c>
      <c r="B46" t="s">
        <v>51</v>
      </c>
      <c r="C46" t="s">
        <v>60</v>
      </c>
      <c r="D46" t="s">
        <v>160</v>
      </c>
      <c r="E46">
        <v>5</v>
      </c>
      <c r="F46">
        <v>5</v>
      </c>
      <c r="G46">
        <v>5</v>
      </c>
      <c r="H46">
        <v>5</v>
      </c>
    </row>
    <row r="47" spans="1:8" x14ac:dyDescent="0.25">
      <c r="A47" t="s">
        <v>26</v>
      </c>
      <c r="B47" t="s">
        <v>51</v>
      </c>
      <c r="C47" t="s">
        <v>57</v>
      </c>
      <c r="D47" t="s">
        <v>159</v>
      </c>
      <c r="E47">
        <v>36</v>
      </c>
      <c r="F47">
        <v>36</v>
      </c>
      <c r="G47">
        <v>36</v>
      </c>
      <c r="H47">
        <v>36</v>
      </c>
    </row>
    <row r="48" spans="1:8" x14ac:dyDescent="0.25">
      <c r="A48" t="s">
        <v>26</v>
      </c>
      <c r="B48" t="s">
        <v>51</v>
      </c>
      <c r="C48" t="s">
        <v>57</v>
      </c>
      <c r="D48" t="s">
        <v>160</v>
      </c>
      <c r="E48">
        <v>1</v>
      </c>
      <c r="F48">
        <v>1</v>
      </c>
      <c r="G48">
        <v>1</v>
      </c>
      <c r="H48">
        <v>1</v>
      </c>
    </row>
    <row r="49" spans="1:8" x14ac:dyDescent="0.25">
      <c r="A49" t="s">
        <v>26</v>
      </c>
      <c r="B49" t="s">
        <v>51</v>
      </c>
      <c r="C49" t="s">
        <v>55</v>
      </c>
      <c r="D49" t="s">
        <v>159</v>
      </c>
      <c r="E49">
        <v>23</v>
      </c>
      <c r="F49">
        <v>23</v>
      </c>
      <c r="G49">
        <v>23</v>
      </c>
      <c r="H49">
        <v>23</v>
      </c>
    </row>
    <row r="50" spans="1:8" x14ac:dyDescent="0.25">
      <c r="A50" t="s">
        <v>26</v>
      </c>
      <c r="B50" t="s">
        <v>51</v>
      </c>
      <c r="C50" t="s">
        <v>55</v>
      </c>
      <c r="D50" t="s">
        <v>160</v>
      </c>
      <c r="E50">
        <v>1</v>
      </c>
      <c r="F50">
        <v>1</v>
      </c>
      <c r="G50">
        <v>1</v>
      </c>
      <c r="H50">
        <v>1</v>
      </c>
    </row>
    <row r="51" spans="1:8" x14ac:dyDescent="0.25">
      <c r="A51" t="s">
        <v>26</v>
      </c>
      <c r="B51" t="s">
        <v>51</v>
      </c>
      <c r="C51" t="s">
        <v>55</v>
      </c>
      <c r="D51" t="s">
        <v>162</v>
      </c>
      <c r="E51">
        <v>68</v>
      </c>
      <c r="F51">
        <v>68</v>
      </c>
      <c r="G51">
        <v>68</v>
      </c>
      <c r="H51">
        <v>68</v>
      </c>
    </row>
    <row r="52" spans="1:8" x14ac:dyDescent="0.25">
      <c r="A52" t="s">
        <v>26</v>
      </c>
      <c r="B52" t="s">
        <v>51</v>
      </c>
      <c r="C52" t="s">
        <v>52</v>
      </c>
      <c r="D52" t="s">
        <v>159</v>
      </c>
      <c r="E52">
        <v>36</v>
      </c>
      <c r="F52">
        <v>36</v>
      </c>
      <c r="G52">
        <v>36</v>
      </c>
      <c r="H52">
        <v>36</v>
      </c>
    </row>
    <row r="53" spans="1:8" x14ac:dyDescent="0.25">
      <c r="A53" t="s">
        <v>26</v>
      </c>
      <c r="B53" t="s">
        <v>51</v>
      </c>
      <c r="C53" t="s">
        <v>52</v>
      </c>
      <c r="D53" t="s">
        <v>163</v>
      </c>
      <c r="E53">
        <v>1</v>
      </c>
      <c r="F53">
        <v>1</v>
      </c>
      <c r="G53">
        <v>1</v>
      </c>
      <c r="H53">
        <v>1</v>
      </c>
    </row>
    <row r="54" spans="1:8" x14ac:dyDescent="0.25">
      <c r="A54" t="s">
        <v>26</v>
      </c>
      <c r="B54" t="s">
        <v>54</v>
      </c>
      <c r="C54" t="s">
        <v>62</v>
      </c>
      <c r="D54" t="s">
        <v>164</v>
      </c>
      <c r="E54">
        <v>38</v>
      </c>
      <c r="F54">
        <v>38</v>
      </c>
      <c r="G54">
        <v>38</v>
      </c>
      <c r="H54">
        <v>38</v>
      </c>
    </row>
    <row r="55" spans="1:8" x14ac:dyDescent="0.25">
      <c r="A55" t="s">
        <v>26</v>
      </c>
      <c r="B55" t="s">
        <v>54</v>
      </c>
      <c r="C55" t="s">
        <v>62</v>
      </c>
      <c r="D55" t="s">
        <v>165</v>
      </c>
      <c r="E55">
        <v>5</v>
      </c>
      <c r="F55">
        <v>5</v>
      </c>
      <c r="G55">
        <v>5</v>
      </c>
      <c r="H55">
        <v>5</v>
      </c>
    </row>
    <row r="56" spans="1:8" x14ac:dyDescent="0.25">
      <c r="A56" t="s">
        <v>26</v>
      </c>
      <c r="B56" t="s">
        <v>54</v>
      </c>
      <c r="C56" t="s">
        <v>64</v>
      </c>
      <c r="D56" t="s">
        <v>164</v>
      </c>
      <c r="E56">
        <v>16</v>
      </c>
      <c r="F56">
        <v>16</v>
      </c>
      <c r="G56">
        <v>16</v>
      </c>
      <c r="H56">
        <v>16</v>
      </c>
    </row>
    <row r="57" spans="1:8" x14ac:dyDescent="0.25">
      <c r="A57" t="s">
        <v>26</v>
      </c>
      <c r="B57" t="s">
        <v>54</v>
      </c>
      <c r="C57" t="s">
        <v>64</v>
      </c>
      <c r="D57" t="s">
        <v>165</v>
      </c>
      <c r="E57">
        <v>10</v>
      </c>
      <c r="F57">
        <v>10</v>
      </c>
      <c r="G57">
        <v>10</v>
      </c>
      <c r="H57">
        <v>10</v>
      </c>
    </row>
    <row r="58" spans="1:8" x14ac:dyDescent="0.25">
      <c r="A58" t="s">
        <v>26</v>
      </c>
      <c r="B58" t="s">
        <v>54</v>
      </c>
      <c r="C58" t="s">
        <v>71</v>
      </c>
      <c r="D58" t="s">
        <v>164</v>
      </c>
      <c r="E58">
        <v>1</v>
      </c>
      <c r="F58">
        <v>1</v>
      </c>
      <c r="G58">
        <v>1</v>
      </c>
      <c r="H58">
        <v>1</v>
      </c>
    </row>
    <row r="59" spans="1:8" x14ac:dyDescent="0.25">
      <c r="A59" t="s">
        <v>26</v>
      </c>
      <c r="B59" t="s">
        <v>54</v>
      </c>
      <c r="C59" t="s">
        <v>75</v>
      </c>
      <c r="D59" t="s">
        <v>164</v>
      </c>
      <c r="E59">
        <v>16</v>
      </c>
      <c r="F59">
        <v>16</v>
      </c>
      <c r="G59">
        <v>16</v>
      </c>
      <c r="H59">
        <v>16</v>
      </c>
    </row>
    <row r="60" spans="1:8" x14ac:dyDescent="0.25">
      <c r="A60" t="s">
        <v>26</v>
      </c>
      <c r="B60" t="s">
        <v>54</v>
      </c>
      <c r="C60" t="s">
        <v>75</v>
      </c>
      <c r="D60" t="s">
        <v>165</v>
      </c>
      <c r="E60">
        <v>16</v>
      </c>
      <c r="F60">
        <v>16</v>
      </c>
      <c r="G60">
        <v>16</v>
      </c>
      <c r="H60">
        <v>16</v>
      </c>
    </row>
    <row r="61" spans="1:8" x14ac:dyDescent="0.25">
      <c r="A61" t="s">
        <v>26</v>
      </c>
      <c r="B61" t="s">
        <v>54</v>
      </c>
      <c r="C61" t="s">
        <v>81</v>
      </c>
      <c r="D61" t="s">
        <v>165</v>
      </c>
      <c r="E61">
        <v>1</v>
      </c>
      <c r="F61">
        <v>1</v>
      </c>
      <c r="G61">
        <v>1</v>
      </c>
      <c r="H61">
        <v>1</v>
      </c>
    </row>
    <row r="62" spans="1:8" x14ac:dyDescent="0.25">
      <c r="A62" t="s">
        <v>26</v>
      </c>
      <c r="B62" t="s">
        <v>54</v>
      </c>
      <c r="C62" t="s">
        <v>85</v>
      </c>
      <c r="D62" t="s">
        <v>165</v>
      </c>
      <c r="E62">
        <v>1</v>
      </c>
      <c r="F62">
        <v>1</v>
      </c>
      <c r="G62">
        <v>1</v>
      </c>
      <c r="H62">
        <v>1</v>
      </c>
    </row>
    <row r="63" spans="1:8" x14ac:dyDescent="0.25">
      <c r="A63" t="s">
        <v>26</v>
      </c>
      <c r="B63" t="s">
        <v>54</v>
      </c>
      <c r="C63" t="s">
        <v>86</v>
      </c>
      <c r="D63" t="s">
        <v>164</v>
      </c>
      <c r="E63">
        <v>7</v>
      </c>
      <c r="F63">
        <v>7</v>
      </c>
      <c r="G63">
        <v>7</v>
      </c>
      <c r="H63">
        <v>7</v>
      </c>
    </row>
    <row r="64" spans="1:8" x14ac:dyDescent="0.25">
      <c r="A64" t="s">
        <v>26</v>
      </c>
      <c r="B64" t="s">
        <v>54</v>
      </c>
      <c r="C64" t="s">
        <v>86</v>
      </c>
      <c r="D64" t="s">
        <v>165</v>
      </c>
      <c r="E64">
        <v>4</v>
      </c>
      <c r="F64">
        <v>4</v>
      </c>
      <c r="G64">
        <v>4</v>
      </c>
      <c r="H64">
        <v>4</v>
      </c>
    </row>
    <row r="65" spans="1:8" x14ac:dyDescent="0.25">
      <c r="A65" t="s">
        <v>26</v>
      </c>
      <c r="B65" t="s">
        <v>54</v>
      </c>
      <c r="C65" t="s">
        <v>88</v>
      </c>
      <c r="D65" t="s">
        <v>164</v>
      </c>
      <c r="E65">
        <v>24</v>
      </c>
      <c r="F65">
        <v>24</v>
      </c>
      <c r="G65">
        <v>24</v>
      </c>
      <c r="H65">
        <v>24</v>
      </c>
    </row>
    <row r="66" spans="1:8" x14ac:dyDescent="0.25">
      <c r="A66" t="s">
        <v>26</v>
      </c>
      <c r="B66" t="s">
        <v>54</v>
      </c>
      <c r="C66" t="s">
        <v>88</v>
      </c>
      <c r="D66" t="s">
        <v>165</v>
      </c>
      <c r="E66">
        <v>21</v>
      </c>
      <c r="F66">
        <v>21</v>
      </c>
      <c r="G66">
        <v>21</v>
      </c>
      <c r="H66">
        <v>21</v>
      </c>
    </row>
    <row r="67" spans="1:8" x14ac:dyDescent="0.25">
      <c r="A67" t="s">
        <v>26</v>
      </c>
      <c r="B67" t="s">
        <v>54</v>
      </c>
      <c r="C67" t="s">
        <v>91</v>
      </c>
      <c r="D67" t="s">
        <v>164</v>
      </c>
      <c r="E67">
        <v>12</v>
      </c>
      <c r="F67">
        <v>12</v>
      </c>
      <c r="G67">
        <v>12</v>
      </c>
      <c r="H67">
        <v>12</v>
      </c>
    </row>
    <row r="68" spans="1:8" x14ac:dyDescent="0.25">
      <c r="A68" t="s">
        <v>26</v>
      </c>
      <c r="B68" t="s">
        <v>54</v>
      </c>
      <c r="C68" t="s">
        <v>91</v>
      </c>
      <c r="D68" t="s">
        <v>165</v>
      </c>
      <c r="E68">
        <v>8</v>
      </c>
      <c r="F68">
        <v>8</v>
      </c>
      <c r="G68">
        <v>8</v>
      </c>
      <c r="H68">
        <v>8</v>
      </c>
    </row>
  </sheetData>
  <autoFilter ref="A1:H68" xr:uid="{CE9070B9-C688-4515-B3E5-B280708CD691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2D56E-929A-4527-A7AB-9A1C4C0EFFA1}">
  <dimension ref="A1:M66"/>
  <sheetViews>
    <sheetView topLeftCell="A54" workbookViewId="0">
      <selection activeCell="A2" sqref="A2:M65"/>
    </sheetView>
  </sheetViews>
  <sheetFormatPr defaultRowHeight="15" x14ac:dyDescent="0.25"/>
  <sheetData>
    <row r="1" spans="1:13" x14ac:dyDescent="0.25">
      <c r="A1" s="131" t="s">
        <v>218</v>
      </c>
      <c r="B1" s="131" t="s">
        <v>231</v>
      </c>
      <c r="C1" s="131" t="s">
        <v>177</v>
      </c>
      <c r="D1" s="131" t="s">
        <v>178</v>
      </c>
      <c r="E1" s="131" t="s">
        <v>179</v>
      </c>
      <c r="F1" s="131" t="s">
        <v>106</v>
      </c>
      <c r="G1" s="131" t="s">
        <v>180</v>
      </c>
      <c r="H1" s="131" t="s">
        <v>108</v>
      </c>
      <c r="I1" s="131" t="s">
        <v>181</v>
      </c>
      <c r="J1" s="131" t="s">
        <v>182</v>
      </c>
      <c r="K1" s="131" t="s">
        <v>183</v>
      </c>
      <c r="L1" s="131" t="s">
        <v>223</v>
      </c>
      <c r="M1" s="131" t="s">
        <v>224</v>
      </c>
    </row>
    <row r="2" spans="1:13" x14ac:dyDescent="0.25">
      <c r="A2" s="132" t="s">
        <v>26</v>
      </c>
      <c r="B2" s="132" t="s">
        <v>54</v>
      </c>
      <c r="C2" s="132" t="s">
        <v>82</v>
      </c>
      <c r="D2" s="132" t="s">
        <v>83</v>
      </c>
      <c r="E2" s="133">
        <v>61548.353999999999</v>
      </c>
      <c r="F2" s="133">
        <v>0</v>
      </c>
      <c r="G2" s="134" t="s">
        <v>187</v>
      </c>
      <c r="H2" s="133">
        <v>0</v>
      </c>
      <c r="I2" s="134" t="s">
        <v>187</v>
      </c>
      <c r="J2" s="133">
        <v>0</v>
      </c>
      <c r="K2" s="134" t="s">
        <v>187</v>
      </c>
      <c r="L2" s="133">
        <v>0</v>
      </c>
      <c r="M2" s="134" t="s">
        <v>187</v>
      </c>
    </row>
    <row r="3" spans="1:13" x14ac:dyDescent="0.25">
      <c r="A3" s="132" t="s">
        <v>26</v>
      </c>
      <c r="B3" s="132" t="s">
        <v>54</v>
      </c>
      <c r="C3" s="132" t="s">
        <v>84</v>
      </c>
      <c r="D3" s="132" t="s">
        <v>83</v>
      </c>
      <c r="E3" s="133">
        <v>61548.354399999989</v>
      </c>
      <c r="F3" s="133">
        <v>0</v>
      </c>
      <c r="G3" s="134" t="s">
        <v>187</v>
      </c>
      <c r="H3" s="133">
        <v>0</v>
      </c>
      <c r="I3" s="134" t="s">
        <v>187</v>
      </c>
      <c r="J3" s="133">
        <v>0</v>
      </c>
      <c r="K3" s="134" t="s">
        <v>187</v>
      </c>
      <c r="L3" s="133">
        <v>0</v>
      </c>
      <c r="M3" s="134" t="s">
        <v>187</v>
      </c>
    </row>
    <row r="4" spans="1:13" x14ac:dyDescent="0.25">
      <c r="A4" s="132" t="s">
        <v>26</v>
      </c>
      <c r="B4" s="132" t="s">
        <v>54</v>
      </c>
      <c r="C4" s="132" t="s">
        <v>94</v>
      </c>
      <c r="D4" s="132" t="s">
        <v>101</v>
      </c>
      <c r="E4" s="133">
        <v>116529.73999999999</v>
      </c>
      <c r="F4" s="133">
        <v>67975.681666666671</v>
      </c>
      <c r="G4" s="134" t="s">
        <v>226</v>
      </c>
      <c r="H4" s="133">
        <v>48554.058333333334</v>
      </c>
      <c r="I4" s="134" t="s">
        <v>227</v>
      </c>
      <c r="J4" s="133">
        <v>14566.217499999999</v>
      </c>
      <c r="K4" s="134" t="s">
        <v>203</v>
      </c>
      <c r="L4" s="133">
        <v>0</v>
      </c>
      <c r="M4" s="134" t="s">
        <v>187</v>
      </c>
    </row>
    <row r="5" spans="1:13" ht="30" x14ac:dyDescent="0.25">
      <c r="A5" s="132" t="s">
        <v>26</v>
      </c>
      <c r="B5" s="132" t="s">
        <v>54</v>
      </c>
      <c r="C5" s="132" t="s">
        <v>79</v>
      </c>
      <c r="D5" s="132" t="s">
        <v>59</v>
      </c>
      <c r="E5" s="133">
        <v>66526.931673225015</v>
      </c>
      <c r="F5" s="133">
        <v>66526.931673225015</v>
      </c>
      <c r="G5" s="134" t="s">
        <v>186</v>
      </c>
      <c r="H5" s="133">
        <v>66526.931673225015</v>
      </c>
      <c r="I5" s="134" t="s">
        <v>186</v>
      </c>
      <c r="J5" s="133">
        <v>66526.931673225015</v>
      </c>
      <c r="K5" s="134" t="s">
        <v>186</v>
      </c>
      <c r="L5" s="133">
        <v>66526.931673225015</v>
      </c>
      <c r="M5" s="134" t="s">
        <v>186</v>
      </c>
    </row>
    <row r="6" spans="1:13" ht="30" x14ac:dyDescent="0.25">
      <c r="A6" s="132" t="s">
        <v>26</v>
      </c>
      <c r="B6" s="132" t="s">
        <v>54</v>
      </c>
      <c r="C6" s="132" t="s">
        <v>80</v>
      </c>
      <c r="D6" s="132" t="s">
        <v>59</v>
      </c>
      <c r="E6" s="133">
        <v>27322.570000000014</v>
      </c>
      <c r="F6" s="133">
        <v>27322.570000000014</v>
      </c>
      <c r="G6" s="134" t="s">
        <v>186</v>
      </c>
      <c r="H6" s="133">
        <v>27322.570000000014</v>
      </c>
      <c r="I6" s="134" t="s">
        <v>186</v>
      </c>
      <c r="J6" s="133">
        <v>27322.570000000014</v>
      </c>
      <c r="K6" s="134" t="s">
        <v>186</v>
      </c>
      <c r="L6" s="133">
        <v>27322.570000000014</v>
      </c>
      <c r="M6" s="134" t="s">
        <v>186</v>
      </c>
    </row>
    <row r="7" spans="1:13" ht="30" x14ac:dyDescent="0.25">
      <c r="A7" s="132" t="s">
        <v>26</v>
      </c>
      <c r="B7" s="132" t="s">
        <v>54</v>
      </c>
      <c r="C7" s="132" t="s">
        <v>89</v>
      </c>
      <c r="D7" s="132" t="s">
        <v>59</v>
      </c>
      <c r="E7" s="133">
        <v>7738.8999999999987</v>
      </c>
      <c r="F7" s="133">
        <v>7738.8999999999987</v>
      </c>
      <c r="G7" s="134" t="s">
        <v>186</v>
      </c>
      <c r="H7" s="133">
        <v>7738.8999999999987</v>
      </c>
      <c r="I7" s="134" t="s">
        <v>186</v>
      </c>
      <c r="J7" s="133">
        <v>7738.8999999999987</v>
      </c>
      <c r="K7" s="134" t="s">
        <v>186</v>
      </c>
      <c r="L7" s="133">
        <v>7738.8999999999987</v>
      </c>
      <c r="M7" s="134" t="s">
        <v>186</v>
      </c>
    </row>
    <row r="8" spans="1:13" ht="30" x14ac:dyDescent="0.25">
      <c r="A8" s="132" t="s">
        <v>26</v>
      </c>
      <c r="B8" s="132" t="s">
        <v>54</v>
      </c>
      <c r="C8" s="132" t="s">
        <v>90</v>
      </c>
      <c r="D8" s="132" t="s">
        <v>59</v>
      </c>
      <c r="E8" s="133">
        <v>12606.7</v>
      </c>
      <c r="F8" s="133">
        <v>12606.7</v>
      </c>
      <c r="G8" s="134" t="s">
        <v>186</v>
      </c>
      <c r="H8" s="133">
        <v>12606.7</v>
      </c>
      <c r="I8" s="134" t="s">
        <v>186</v>
      </c>
      <c r="J8" s="133">
        <v>12606.7</v>
      </c>
      <c r="K8" s="134" t="s">
        <v>186</v>
      </c>
      <c r="L8" s="133">
        <v>12606.7</v>
      </c>
      <c r="M8" s="134" t="s">
        <v>186</v>
      </c>
    </row>
    <row r="9" spans="1:13" ht="30" x14ac:dyDescent="0.25">
      <c r="A9" s="132" t="s">
        <v>26</v>
      </c>
      <c r="B9" s="132" t="s">
        <v>54</v>
      </c>
      <c r="C9" s="132" t="s">
        <v>87</v>
      </c>
      <c r="D9" s="132" t="s">
        <v>59</v>
      </c>
      <c r="E9" s="133">
        <v>11821.399999999996</v>
      </c>
      <c r="F9" s="133">
        <v>11821.399999999996</v>
      </c>
      <c r="G9" s="134" t="s">
        <v>186</v>
      </c>
      <c r="H9" s="133">
        <v>11821.399999999996</v>
      </c>
      <c r="I9" s="134" t="s">
        <v>186</v>
      </c>
      <c r="J9" s="133">
        <v>11821.399999999996</v>
      </c>
      <c r="K9" s="134" t="s">
        <v>186</v>
      </c>
      <c r="L9" s="133">
        <v>11821.399999999996</v>
      </c>
      <c r="M9" s="134" t="s">
        <v>186</v>
      </c>
    </row>
    <row r="10" spans="1:13" ht="30" x14ac:dyDescent="0.25">
      <c r="A10" s="132" t="s">
        <v>26</v>
      </c>
      <c r="B10" s="132" t="s">
        <v>54</v>
      </c>
      <c r="C10" s="132" t="s">
        <v>93</v>
      </c>
      <c r="D10" s="132" t="s">
        <v>59</v>
      </c>
      <c r="E10" s="133">
        <v>13649.199999999999</v>
      </c>
      <c r="F10" s="133">
        <v>13649.199999999999</v>
      </c>
      <c r="G10" s="134" t="s">
        <v>186</v>
      </c>
      <c r="H10" s="133">
        <v>13649.199999999999</v>
      </c>
      <c r="I10" s="134" t="s">
        <v>186</v>
      </c>
      <c r="J10" s="133">
        <v>13649.199999999999</v>
      </c>
      <c r="K10" s="134" t="s">
        <v>186</v>
      </c>
      <c r="L10" s="133">
        <v>13649.199999999999</v>
      </c>
      <c r="M10" s="134" t="s">
        <v>186</v>
      </c>
    </row>
    <row r="11" spans="1:13" ht="30" x14ac:dyDescent="0.25">
      <c r="A11" s="132" t="s">
        <v>26</v>
      </c>
      <c r="B11" s="132" t="s">
        <v>54</v>
      </c>
      <c r="C11" s="132" t="s">
        <v>58</v>
      </c>
      <c r="D11" s="132" t="s">
        <v>59</v>
      </c>
      <c r="E11" s="133">
        <v>18010.695291250006</v>
      </c>
      <c r="F11" s="133">
        <v>18010.695291250006</v>
      </c>
      <c r="G11" s="134" t="s">
        <v>186</v>
      </c>
      <c r="H11" s="133">
        <v>18010.695291250006</v>
      </c>
      <c r="I11" s="134" t="s">
        <v>186</v>
      </c>
      <c r="J11" s="133">
        <v>18010.695291250006</v>
      </c>
      <c r="K11" s="134" t="s">
        <v>186</v>
      </c>
      <c r="L11" s="133">
        <v>18010.695291250006</v>
      </c>
      <c r="M11" s="134" t="s">
        <v>186</v>
      </c>
    </row>
    <row r="12" spans="1:13" ht="30" x14ac:dyDescent="0.25">
      <c r="A12" s="132" t="s">
        <v>26</v>
      </c>
      <c r="B12" s="132" t="s">
        <v>54</v>
      </c>
      <c r="C12" s="132" t="s">
        <v>77</v>
      </c>
      <c r="D12" s="132" t="s">
        <v>59</v>
      </c>
      <c r="E12" s="133">
        <v>14499.954724850006</v>
      </c>
      <c r="F12" s="133">
        <v>14499.954724850006</v>
      </c>
      <c r="G12" s="134" t="s">
        <v>186</v>
      </c>
      <c r="H12" s="133">
        <v>14499.954724850006</v>
      </c>
      <c r="I12" s="134" t="s">
        <v>186</v>
      </c>
      <c r="J12" s="133">
        <v>14499.954724850006</v>
      </c>
      <c r="K12" s="134" t="s">
        <v>186</v>
      </c>
      <c r="L12" s="133">
        <v>14499.954724850006</v>
      </c>
      <c r="M12" s="134" t="s">
        <v>186</v>
      </c>
    </row>
    <row r="13" spans="1:13" ht="45" x14ac:dyDescent="0.25">
      <c r="A13" s="132" t="s">
        <v>26</v>
      </c>
      <c r="B13" s="132" t="s">
        <v>54</v>
      </c>
      <c r="C13" s="132" t="s">
        <v>62</v>
      </c>
      <c r="D13" s="132" t="s">
        <v>164</v>
      </c>
      <c r="E13" s="133">
        <v>83412.565384615358</v>
      </c>
      <c r="F13" s="133">
        <v>75468.51153846152</v>
      </c>
      <c r="G13" s="134" t="s">
        <v>194</v>
      </c>
      <c r="H13" s="133">
        <v>49650.336538461524</v>
      </c>
      <c r="I13" s="134" t="s">
        <v>232</v>
      </c>
      <c r="J13" s="133">
        <v>45678.309615384605</v>
      </c>
      <c r="K13" s="134" t="s">
        <v>240</v>
      </c>
      <c r="L13" s="133">
        <v>0</v>
      </c>
      <c r="M13" s="134" t="s">
        <v>187</v>
      </c>
    </row>
    <row r="14" spans="1:13" ht="45" x14ac:dyDescent="0.25">
      <c r="A14" s="132" t="s">
        <v>26</v>
      </c>
      <c r="B14" s="132" t="s">
        <v>54</v>
      </c>
      <c r="C14" s="132" t="s">
        <v>62</v>
      </c>
      <c r="D14" s="132" t="s">
        <v>165</v>
      </c>
      <c r="E14" s="133">
        <v>19860.13461538461</v>
      </c>
      <c r="F14" s="133">
        <v>7944.0538461538445</v>
      </c>
      <c r="G14" s="134" t="s">
        <v>197</v>
      </c>
      <c r="H14" s="133">
        <v>1986.0134615384611</v>
      </c>
      <c r="I14" s="134" t="s">
        <v>234</v>
      </c>
      <c r="J14" s="133">
        <v>0</v>
      </c>
      <c r="K14" s="134" t="s">
        <v>187</v>
      </c>
      <c r="L14" s="133">
        <v>0</v>
      </c>
      <c r="M14" s="134" t="s">
        <v>187</v>
      </c>
    </row>
    <row r="15" spans="1:13" ht="45" x14ac:dyDescent="0.25">
      <c r="A15" s="132" t="s">
        <v>26</v>
      </c>
      <c r="B15" s="132" t="s">
        <v>54</v>
      </c>
      <c r="C15" s="132" t="s">
        <v>64</v>
      </c>
      <c r="D15" s="132" t="s">
        <v>164</v>
      </c>
      <c r="E15" s="133">
        <v>53557.390769230769</v>
      </c>
      <c r="F15" s="133">
        <v>53557.390769230769</v>
      </c>
      <c r="G15" s="134" t="s">
        <v>186</v>
      </c>
      <c r="H15" s="133">
        <v>53557.390769230769</v>
      </c>
      <c r="I15" s="134" t="s">
        <v>186</v>
      </c>
      <c r="J15" s="133">
        <v>53557.390769230769</v>
      </c>
      <c r="K15" s="134" t="s">
        <v>186</v>
      </c>
      <c r="L15" s="133">
        <v>53557.390769230769</v>
      </c>
      <c r="M15" s="134" t="s">
        <v>186</v>
      </c>
    </row>
    <row r="16" spans="1:13" ht="45" x14ac:dyDescent="0.25">
      <c r="A16" s="132" t="s">
        <v>26</v>
      </c>
      <c r="B16" s="132" t="s">
        <v>54</v>
      </c>
      <c r="C16" s="132" t="s">
        <v>64</v>
      </c>
      <c r="D16" s="132" t="s">
        <v>165</v>
      </c>
      <c r="E16" s="133">
        <v>33473.369230769233</v>
      </c>
      <c r="F16" s="133">
        <v>33473.369230769233</v>
      </c>
      <c r="G16" s="134" t="s">
        <v>186</v>
      </c>
      <c r="H16" s="133">
        <v>33473.369230769233</v>
      </c>
      <c r="I16" s="134" t="s">
        <v>186</v>
      </c>
      <c r="J16" s="133">
        <v>33473.369230769233</v>
      </c>
      <c r="K16" s="134" t="s">
        <v>186</v>
      </c>
      <c r="L16" s="133">
        <v>33473.369230769233</v>
      </c>
      <c r="M16" s="134" t="s">
        <v>186</v>
      </c>
    </row>
    <row r="17" spans="1:13" ht="45" x14ac:dyDescent="0.25">
      <c r="A17" s="132" t="s">
        <v>26</v>
      </c>
      <c r="B17" s="132" t="s">
        <v>54</v>
      </c>
      <c r="C17" s="132" t="s">
        <v>71</v>
      </c>
      <c r="D17" s="132" t="s">
        <v>164</v>
      </c>
      <c r="E17" s="133">
        <v>82046.400000000009</v>
      </c>
      <c r="F17" s="133">
        <v>82046.400000000009</v>
      </c>
      <c r="G17" s="134" t="s">
        <v>186</v>
      </c>
      <c r="H17" s="133">
        <v>82046.400000000009</v>
      </c>
      <c r="I17" s="134" t="s">
        <v>186</v>
      </c>
      <c r="J17" s="133">
        <v>82046.400000000009</v>
      </c>
      <c r="K17" s="134" t="s">
        <v>186</v>
      </c>
      <c r="L17" s="133">
        <v>82046.400000000009</v>
      </c>
      <c r="M17" s="134" t="s">
        <v>186</v>
      </c>
    </row>
    <row r="18" spans="1:13" ht="45" x14ac:dyDescent="0.25">
      <c r="A18" s="132" t="s">
        <v>26</v>
      </c>
      <c r="B18" s="132" t="s">
        <v>54</v>
      </c>
      <c r="C18" s="132" t="s">
        <v>75</v>
      </c>
      <c r="D18" s="132" t="s">
        <v>164</v>
      </c>
      <c r="E18" s="133">
        <v>80497.16</v>
      </c>
      <c r="F18" s="133">
        <v>80497.16</v>
      </c>
      <c r="G18" s="134" t="s">
        <v>186</v>
      </c>
      <c r="H18" s="133">
        <v>80497.16</v>
      </c>
      <c r="I18" s="134" t="s">
        <v>186</v>
      </c>
      <c r="J18" s="133">
        <v>80497.16</v>
      </c>
      <c r="K18" s="134" t="s">
        <v>186</v>
      </c>
      <c r="L18" s="133">
        <v>80497.16</v>
      </c>
      <c r="M18" s="134" t="s">
        <v>186</v>
      </c>
    </row>
    <row r="19" spans="1:13" ht="45" x14ac:dyDescent="0.25">
      <c r="A19" s="132" t="s">
        <v>26</v>
      </c>
      <c r="B19" s="132" t="s">
        <v>54</v>
      </c>
      <c r="C19" s="132" t="s">
        <v>81</v>
      </c>
      <c r="D19" s="132" t="s">
        <v>165</v>
      </c>
      <c r="E19" s="133">
        <v>89010.219999999987</v>
      </c>
      <c r="F19" s="133">
        <v>89010.219999999987</v>
      </c>
      <c r="G19" s="134" t="s">
        <v>186</v>
      </c>
      <c r="H19" s="133">
        <v>89010.219999999987</v>
      </c>
      <c r="I19" s="134" t="s">
        <v>186</v>
      </c>
      <c r="J19" s="133">
        <v>89010.219999999987</v>
      </c>
      <c r="K19" s="134" t="s">
        <v>186</v>
      </c>
      <c r="L19" s="133">
        <v>89010.219999999987</v>
      </c>
      <c r="M19" s="134" t="s">
        <v>186</v>
      </c>
    </row>
    <row r="20" spans="1:13" ht="45" x14ac:dyDescent="0.25">
      <c r="A20" s="132" t="s">
        <v>26</v>
      </c>
      <c r="B20" s="132" t="s">
        <v>54</v>
      </c>
      <c r="C20" s="132" t="s">
        <v>85</v>
      </c>
      <c r="D20" s="132" t="s">
        <v>165</v>
      </c>
      <c r="E20" s="133">
        <v>88239.10000000002</v>
      </c>
      <c r="F20" s="133">
        <v>88239.10000000002</v>
      </c>
      <c r="G20" s="134" t="s">
        <v>186</v>
      </c>
      <c r="H20" s="133">
        <v>88239.10000000002</v>
      </c>
      <c r="I20" s="134" t="s">
        <v>186</v>
      </c>
      <c r="J20" s="133">
        <v>88239.10000000002</v>
      </c>
      <c r="K20" s="134" t="s">
        <v>186</v>
      </c>
      <c r="L20" s="133">
        <v>88239.10000000002</v>
      </c>
      <c r="M20" s="134" t="s">
        <v>186</v>
      </c>
    </row>
    <row r="21" spans="1:13" ht="45" x14ac:dyDescent="0.25">
      <c r="A21" s="132" t="s">
        <v>26</v>
      </c>
      <c r="B21" s="132" t="s">
        <v>54</v>
      </c>
      <c r="C21" s="132" t="s">
        <v>86</v>
      </c>
      <c r="D21" s="132" t="s">
        <v>164</v>
      </c>
      <c r="E21" s="133">
        <v>20377.497966666666</v>
      </c>
      <c r="F21" s="133">
        <v>3396.249661111111</v>
      </c>
      <c r="G21" s="134" t="s">
        <v>205</v>
      </c>
      <c r="H21" s="133">
        <v>0</v>
      </c>
      <c r="I21" s="134" t="s">
        <v>187</v>
      </c>
      <c r="J21" s="133">
        <v>0</v>
      </c>
      <c r="K21" s="134" t="s">
        <v>187</v>
      </c>
      <c r="L21" s="133">
        <v>0</v>
      </c>
      <c r="M21" s="134" t="s">
        <v>187</v>
      </c>
    </row>
    <row r="22" spans="1:13" ht="45" x14ac:dyDescent="0.25">
      <c r="A22" s="132" t="s">
        <v>26</v>
      </c>
      <c r="B22" s="132" t="s">
        <v>54</v>
      </c>
      <c r="C22" s="132" t="s">
        <v>86</v>
      </c>
      <c r="D22" s="132" t="s">
        <v>165</v>
      </c>
      <c r="E22" s="133">
        <v>40754.995933333332</v>
      </c>
      <c r="F22" s="133">
        <v>3396.249661111111</v>
      </c>
      <c r="G22" s="134" t="s">
        <v>204</v>
      </c>
      <c r="H22" s="133">
        <v>3396.249661111111</v>
      </c>
      <c r="I22" s="134" t="s">
        <v>204</v>
      </c>
      <c r="J22" s="133">
        <v>0</v>
      </c>
      <c r="K22" s="134" t="s">
        <v>187</v>
      </c>
      <c r="L22" s="133">
        <v>0</v>
      </c>
      <c r="M22" s="134" t="s">
        <v>187</v>
      </c>
    </row>
    <row r="23" spans="1:13" ht="45" x14ac:dyDescent="0.25">
      <c r="A23" s="132" t="s">
        <v>26</v>
      </c>
      <c r="B23" s="132" t="s">
        <v>54</v>
      </c>
      <c r="C23" s="132" t="s">
        <v>88</v>
      </c>
      <c r="D23" s="132" t="s">
        <v>164</v>
      </c>
      <c r="E23" s="133">
        <v>37721.30214</v>
      </c>
      <c r="F23" s="133">
        <v>13621.581328333334</v>
      </c>
      <c r="G23" s="134" t="s">
        <v>206</v>
      </c>
      <c r="H23" s="133">
        <v>12573.767379999999</v>
      </c>
      <c r="I23" s="134" t="s">
        <v>207</v>
      </c>
      <c r="J23" s="133">
        <v>9430.3255349999999</v>
      </c>
      <c r="K23" s="134" t="s">
        <v>208</v>
      </c>
      <c r="L23" s="133">
        <v>0</v>
      </c>
      <c r="M23" s="134" t="s">
        <v>187</v>
      </c>
    </row>
    <row r="24" spans="1:13" ht="45" x14ac:dyDescent="0.25">
      <c r="A24" s="132" t="s">
        <v>26</v>
      </c>
      <c r="B24" s="132" t="s">
        <v>54</v>
      </c>
      <c r="C24" s="132" t="s">
        <v>88</v>
      </c>
      <c r="D24" s="132" t="s">
        <v>165</v>
      </c>
      <c r="E24" s="133">
        <v>25147.534760000002</v>
      </c>
      <c r="F24" s="133">
        <v>0</v>
      </c>
      <c r="G24" s="134" t="s">
        <v>187</v>
      </c>
      <c r="H24" s="133">
        <v>0</v>
      </c>
      <c r="I24" s="134" t="s">
        <v>187</v>
      </c>
      <c r="J24" s="133">
        <v>0</v>
      </c>
      <c r="K24" s="134" t="s">
        <v>187</v>
      </c>
      <c r="L24" s="133">
        <v>0</v>
      </c>
      <c r="M24" s="134" t="s">
        <v>187</v>
      </c>
    </row>
    <row r="25" spans="1:13" ht="45" x14ac:dyDescent="0.25">
      <c r="A25" s="132" t="s">
        <v>26</v>
      </c>
      <c r="B25" s="132" t="s">
        <v>54</v>
      </c>
      <c r="C25" s="132" t="s">
        <v>91</v>
      </c>
      <c r="D25" s="132" t="s">
        <v>164</v>
      </c>
      <c r="E25" s="133">
        <v>51218.906666666669</v>
      </c>
      <c r="F25" s="133">
        <v>0</v>
      </c>
      <c r="G25" s="134" t="s">
        <v>187</v>
      </c>
      <c r="H25" s="133">
        <v>0</v>
      </c>
      <c r="I25" s="134" t="s">
        <v>187</v>
      </c>
      <c r="J25" s="133">
        <v>0</v>
      </c>
      <c r="K25" s="134" t="s">
        <v>187</v>
      </c>
      <c r="L25" s="133">
        <v>0</v>
      </c>
      <c r="M25" s="134" t="s">
        <v>187</v>
      </c>
    </row>
    <row r="26" spans="1:13" ht="45" x14ac:dyDescent="0.25">
      <c r="A26" s="132" t="s">
        <v>26</v>
      </c>
      <c r="B26" s="132" t="s">
        <v>54</v>
      </c>
      <c r="C26" s="132" t="s">
        <v>91</v>
      </c>
      <c r="D26" s="132" t="s">
        <v>165</v>
      </c>
      <c r="E26" s="133">
        <v>25609.453333333335</v>
      </c>
      <c r="F26" s="133">
        <v>0</v>
      </c>
      <c r="G26" s="134" t="s">
        <v>187</v>
      </c>
      <c r="H26" s="133">
        <v>0</v>
      </c>
      <c r="I26" s="134" t="s">
        <v>187</v>
      </c>
      <c r="J26" s="133">
        <v>0</v>
      </c>
      <c r="K26" s="134" t="s">
        <v>187</v>
      </c>
      <c r="L26" s="133">
        <v>0</v>
      </c>
      <c r="M26" s="134" t="s">
        <v>187</v>
      </c>
    </row>
    <row r="27" spans="1:13" x14ac:dyDescent="0.25">
      <c r="A27" s="132" t="s">
        <v>26</v>
      </c>
      <c r="B27" s="132" t="s">
        <v>27</v>
      </c>
      <c r="C27" s="132" t="s">
        <v>28</v>
      </c>
      <c r="D27" s="132" t="s">
        <v>30</v>
      </c>
      <c r="E27" s="133">
        <v>96552.957720588165</v>
      </c>
      <c r="F27" s="133">
        <v>96552.957720588165</v>
      </c>
      <c r="G27" s="134" t="s">
        <v>186</v>
      </c>
      <c r="H27" s="133">
        <v>96552.957720588165</v>
      </c>
      <c r="I27" s="134" t="s">
        <v>186</v>
      </c>
      <c r="J27" s="133">
        <v>96552.957720588165</v>
      </c>
      <c r="K27" s="134" t="s">
        <v>186</v>
      </c>
      <c r="L27" s="133">
        <v>96552.957720588165</v>
      </c>
      <c r="M27" s="134" t="s">
        <v>186</v>
      </c>
    </row>
    <row r="28" spans="1:13" ht="45" x14ac:dyDescent="0.25">
      <c r="A28" s="132" t="s">
        <v>26</v>
      </c>
      <c r="B28" s="132" t="s">
        <v>27</v>
      </c>
      <c r="C28" s="132" t="s">
        <v>96</v>
      </c>
      <c r="D28" s="132" t="s">
        <v>32</v>
      </c>
      <c r="E28" s="133">
        <v>7161.8114376280319</v>
      </c>
      <c r="F28" s="133">
        <v>7161.8114376280319</v>
      </c>
      <c r="G28" s="134" t="s">
        <v>186</v>
      </c>
      <c r="H28" s="133">
        <v>7161.8114376280319</v>
      </c>
      <c r="I28" s="134" t="s">
        <v>186</v>
      </c>
      <c r="J28" s="133">
        <v>7161.8114376280319</v>
      </c>
      <c r="K28" s="134" t="s">
        <v>186</v>
      </c>
      <c r="L28" s="133">
        <v>7161.8114376280319</v>
      </c>
      <c r="M28" s="134" t="s">
        <v>186</v>
      </c>
    </row>
    <row r="29" spans="1:13" x14ac:dyDescent="0.25">
      <c r="A29" s="132" t="s">
        <v>26</v>
      </c>
      <c r="B29" s="132" t="s">
        <v>27</v>
      </c>
      <c r="C29" s="132" t="s">
        <v>31</v>
      </c>
      <c r="D29" s="132" t="s">
        <v>33</v>
      </c>
      <c r="E29" s="133">
        <v>108361.32088237196</v>
      </c>
      <c r="F29" s="133">
        <v>108361.32088237196</v>
      </c>
      <c r="G29" s="134" t="s">
        <v>186</v>
      </c>
      <c r="H29" s="133">
        <v>108361.32088237196</v>
      </c>
      <c r="I29" s="134" t="s">
        <v>186</v>
      </c>
      <c r="J29" s="133">
        <v>108361.32088237196</v>
      </c>
      <c r="K29" s="134" t="s">
        <v>186</v>
      </c>
      <c r="L29" s="133">
        <v>108361.32088237196</v>
      </c>
      <c r="M29" s="134" t="s">
        <v>186</v>
      </c>
    </row>
    <row r="30" spans="1:13" ht="45" x14ac:dyDescent="0.25">
      <c r="A30" s="132" t="s">
        <v>26</v>
      </c>
      <c r="B30" s="132" t="s">
        <v>27</v>
      </c>
      <c r="C30" s="132" t="s">
        <v>97</v>
      </c>
      <c r="D30" s="132" t="s">
        <v>35</v>
      </c>
      <c r="E30" s="133">
        <v>28819.23</v>
      </c>
      <c r="F30" s="133">
        <v>28819.23</v>
      </c>
      <c r="G30" s="134" t="s">
        <v>186</v>
      </c>
      <c r="H30" s="133">
        <v>28819.23</v>
      </c>
      <c r="I30" s="134" t="s">
        <v>186</v>
      </c>
      <c r="J30" s="133">
        <v>28819.23</v>
      </c>
      <c r="K30" s="134" t="s">
        <v>186</v>
      </c>
      <c r="L30" s="133">
        <v>28819.23</v>
      </c>
      <c r="M30" s="134" t="s">
        <v>186</v>
      </c>
    </row>
    <row r="31" spans="1:13" x14ac:dyDescent="0.25">
      <c r="A31" s="132" t="s">
        <v>26</v>
      </c>
      <c r="B31" s="132" t="s">
        <v>27</v>
      </c>
      <c r="C31" s="132" t="s">
        <v>34</v>
      </c>
      <c r="D31" s="132" t="s">
        <v>36</v>
      </c>
      <c r="E31" s="133">
        <v>41918.879999999997</v>
      </c>
      <c r="F31" s="133">
        <v>41918.879999999997</v>
      </c>
      <c r="G31" s="134" t="s">
        <v>186</v>
      </c>
      <c r="H31" s="133">
        <v>41918.879999999997</v>
      </c>
      <c r="I31" s="134" t="s">
        <v>186</v>
      </c>
      <c r="J31" s="133">
        <v>41918.879999999997</v>
      </c>
      <c r="K31" s="134" t="s">
        <v>186</v>
      </c>
      <c r="L31" s="133">
        <v>41918.879999999997</v>
      </c>
      <c r="M31" s="134" t="s">
        <v>186</v>
      </c>
    </row>
    <row r="32" spans="1:13" ht="45" x14ac:dyDescent="0.25">
      <c r="A32" s="132" t="s">
        <v>26</v>
      </c>
      <c r="B32" s="132" t="s">
        <v>27</v>
      </c>
      <c r="C32" s="132" t="s">
        <v>154</v>
      </c>
      <c r="D32" s="132" t="s">
        <v>155</v>
      </c>
      <c r="E32" s="133">
        <v>69664.792279411718</v>
      </c>
      <c r="F32" s="133">
        <v>69664.792279411718</v>
      </c>
      <c r="G32" s="134" t="s">
        <v>186</v>
      </c>
      <c r="H32" s="133">
        <v>69664.792279411718</v>
      </c>
      <c r="I32" s="134" t="s">
        <v>186</v>
      </c>
      <c r="J32" s="133">
        <v>69664.792279411718</v>
      </c>
      <c r="K32" s="134" t="s">
        <v>186</v>
      </c>
      <c r="L32" s="133">
        <v>69664.792279411718</v>
      </c>
      <c r="M32" s="134" t="s">
        <v>186</v>
      </c>
    </row>
    <row r="33" spans="1:13" x14ac:dyDescent="0.25">
      <c r="A33" s="132" t="s">
        <v>26</v>
      </c>
      <c r="B33" s="132" t="s">
        <v>37</v>
      </c>
      <c r="C33" s="132" t="s">
        <v>38</v>
      </c>
      <c r="D33" s="132" t="s">
        <v>30</v>
      </c>
      <c r="E33" s="133">
        <v>202798.24999999991</v>
      </c>
      <c r="F33" s="133">
        <v>202798.24999999991</v>
      </c>
      <c r="G33" s="134" t="s">
        <v>186</v>
      </c>
      <c r="H33" s="133">
        <v>202798.24999999991</v>
      </c>
      <c r="I33" s="134" t="s">
        <v>186</v>
      </c>
      <c r="J33" s="133">
        <v>202798.24999999991</v>
      </c>
      <c r="K33" s="134" t="s">
        <v>186</v>
      </c>
      <c r="L33" s="133">
        <v>202798.24999999991</v>
      </c>
      <c r="M33" s="134" t="s">
        <v>186</v>
      </c>
    </row>
    <row r="34" spans="1:13" ht="45" x14ac:dyDescent="0.25">
      <c r="A34" s="132" t="s">
        <v>26</v>
      </c>
      <c r="B34" s="132" t="s">
        <v>37</v>
      </c>
      <c r="C34" s="132" t="s">
        <v>98</v>
      </c>
      <c r="D34" s="132" t="s">
        <v>40</v>
      </c>
      <c r="E34" s="133">
        <v>14225.697777777767</v>
      </c>
      <c r="F34" s="133">
        <v>14225.697777777767</v>
      </c>
      <c r="G34" s="134" t="s">
        <v>186</v>
      </c>
      <c r="H34" s="133">
        <v>14225.697777777767</v>
      </c>
      <c r="I34" s="134" t="s">
        <v>186</v>
      </c>
      <c r="J34" s="133">
        <v>14225.697777777767</v>
      </c>
      <c r="K34" s="134" t="s">
        <v>186</v>
      </c>
      <c r="L34" s="133">
        <v>14225.697777777767</v>
      </c>
      <c r="M34" s="134" t="s">
        <v>186</v>
      </c>
    </row>
    <row r="35" spans="1:13" x14ac:dyDescent="0.25">
      <c r="A35" s="132" t="s">
        <v>26</v>
      </c>
      <c r="B35" s="132" t="s">
        <v>37</v>
      </c>
      <c r="C35" s="132" t="s">
        <v>39</v>
      </c>
      <c r="D35" s="132" t="s">
        <v>41</v>
      </c>
      <c r="E35" s="133">
        <v>33786.032222222195</v>
      </c>
      <c r="F35" s="133">
        <v>33786.032222222195</v>
      </c>
      <c r="G35" s="134" t="s">
        <v>186</v>
      </c>
      <c r="H35" s="133">
        <v>33786.032222222195</v>
      </c>
      <c r="I35" s="134" t="s">
        <v>186</v>
      </c>
      <c r="J35" s="133">
        <v>33786.032222222195</v>
      </c>
      <c r="K35" s="134" t="s">
        <v>186</v>
      </c>
      <c r="L35" s="133">
        <v>33786.032222222195</v>
      </c>
      <c r="M35" s="134" t="s">
        <v>186</v>
      </c>
    </row>
    <row r="36" spans="1:13" x14ac:dyDescent="0.25">
      <c r="A36" s="132" t="s">
        <v>26</v>
      </c>
      <c r="B36" s="132" t="s">
        <v>48</v>
      </c>
      <c r="C36" s="132" t="s">
        <v>50</v>
      </c>
      <c r="D36" s="132" t="s">
        <v>30</v>
      </c>
      <c r="E36" s="133">
        <v>197930.57800000015</v>
      </c>
      <c r="F36" s="133">
        <v>197930.57800000015</v>
      </c>
      <c r="G36" s="134" t="s">
        <v>186</v>
      </c>
      <c r="H36" s="133">
        <v>197930.57800000015</v>
      </c>
      <c r="I36" s="134" t="s">
        <v>186</v>
      </c>
      <c r="J36" s="133">
        <v>197930.57800000015</v>
      </c>
      <c r="K36" s="134" t="s">
        <v>186</v>
      </c>
      <c r="L36" s="133">
        <v>197930.57800000015</v>
      </c>
      <c r="M36" s="134" t="s">
        <v>186</v>
      </c>
    </row>
    <row r="37" spans="1:13" ht="45" x14ac:dyDescent="0.25">
      <c r="A37" s="132" t="s">
        <v>26</v>
      </c>
      <c r="B37" s="132" t="s">
        <v>48</v>
      </c>
      <c r="C37" s="132" t="s">
        <v>99</v>
      </c>
      <c r="D37" s="132" t="s">
        <v>40</v>
      </c>
      <c r="E37" s="133">
        <v>48039.180472087894</v>
      </c>
      <c r="F37" s="133">
        <v>48039.180472087894</v>
      </c>
      <c r="G37" s="134" t="s">
        <v>186</v>
      </c>
      <c r="H37" s="133">
        <v>48039.180472087894</v>
      </c>
      <c r="I37" s="134" t="s">
        <v>186</v>
      </c>
      <c r="J37" s="133">
        <v>48039.180472087894</v>
      </c>
      <c r="K37" s="134" t="s">
        <v>186</v>
      </c>
      <c r="L37" s="133">
        <v>48039.180472087894</v>
      </c>
      <c r="M37" s="134" t="s">
        <v>186</v>
      </c>
    </row>
    <row r="38" spans="1:13" x14ac:dyDescent="0.25">
      <c r="A38" s="132" t="s">
        <v>26</v>
      </c>
      <c r="B38" s="132" t="s">
        <v>48</v>
      </c>
      <c r="C38" s="132" t="s">
        <v>49</v>
      </c>
      <c r="D38" s="132" t="s">
        <v>41</v>
      </c>
      <c r="E38" s="133">
        <v>113870.65000791205</v>
      </c>
      <c r="F38" s="133">
        <v>113870.65000791205</v>
      </c>
      <c r="G38" s="134" t="s">
        <v>186</v>
      </c>
      <c r="H38" s="133">
        <v>113870.65000791205</v>
      </c>
      <c r="I38" s="134" t="s">
        <v>186</v>
      </c>
      <c r="J38" s="133">
        <v>113870.65000791205</v>
      </c>
      <c r="K38" s="134" t="s">
        <v>186</v>
      </c>
      <c r="L38" s="133">
        <v>113870.65000791205</v>
      </c>
      <c r="M38" s="134" t="s">
        <v>186</v>
      </c>
    </row>
    <row r="39" spans="1:13" x14ac:dyDescent="0.25">
      <c r="A39" s="132" t="s">
        <v>26</v>
      </c>
      <c r="B39" s="132" t="s">
        <v>48</v>
      </c>
      <c r="C39" s="132" t="s">
        <v>53</v>
      </c>
      <c r="D39" s="132" t="s">
        <v>30</v>
      </c>
      <c r="E39" s="133">
        <v>38583.482900000025</v>
      </c>
      <c r="F39" s="133">
        <v>38583.482900000025</v>
      </c>
      <c r="G39" s="134" t="s">
        <v>186</v>
      </c>
      <c r="H39" s="133">
        <v>38583.482900000025</v>
      </c>
      <c r="I39" s="134" t="s">
        <v>186</v>
      </c>
      <c r="J39" s="133">
        <v>38583.482900000025</v>
      </c>
      <c r="K39" s="134" t="s">
        <v>186</v>
      </c>
      <c r="L39" s="133">
        <v>38583.482900000025</v>
      </c>
      <c r="M39" s="134" t="s">
        <v>186</v>
      </c>
    </row>
    <row r="40" spans="1:13" x14ac:dyDescent="0.25">
      <c r="A40" s="132" t="s">
        <v>26</v>
      </c>
      <c r="B40" s="132" t="s">
        <v>42</v>
      </c>
      <c r="C40" s="132" t="s">
        <v>43</v>
      </c>
      <c r="D40" s="132" t="s">
        <v>30</v>
      </c>
      <c r="E40" s="133">
        <v>117331.45999999999</v>
      </c>
      <c r="F40" s="133">
        <v>117331.45999999999</v>
      </c>
      <c r="G40" s="134" t="s">
        <v>186</v>
      </c>
      <c r="H40" s="133">
        <v>117331.45999999999</v>
      </c>
      <c r="I40" s="134" t="s">
        <v>186</v>
      </c>
      <c r="J40" s="133">
        <v>117331.45999999999</v>
      </c>
      <c r="K40" s="134" t="s">
        <v>186</v>
      </c>
      <c r="L40" s="133">
        <v>117331.45999999999</v>
      </c>
      <c r="M40" s="134" t="s">
        <v>186</v>
      </c>
    </row>
    <row r="41" spans="1:13" ht="45" x14ac:dyDescent="0.25">
      <c r="A41" s="132" t="s">
        <v>26</v>
      </c>
      <c r="B41" s="132" t="s">
        <v>42</v>
      </c>
      <c r="C41" s="132" t="s">
        <v>100</v>
      </c>
      <c r="D41" s="132" t="s">
        <v>40</v>
      </c>
      <c r="E41" s="133">
        <v>31371.858461538464</v>
      </c>
      <c r="F41" s="133">
        <v>31371.858461538464</v>
      </c>
      <c r="G41" s="134" t="s">
        <v>186</v>
      </c>
      <c r="H41" s="133">
        <v>31371.858461538464</v>
      </c>
      <c r="I41" s="134" t="s">
        <v>186</v>
      </c>
      <c r="J41" s="133">
        <v>31371.858461538464</v>
      </c>
      <c r="K41" s="134" t="s">
        <v>186</v>
      </c>
      <c r="L41" s="133">
        <v>31371.858461538464</v>
      </c>
      <c r="M41" s="134" t="s">
        <v>186</v>
      </c>
    </row>
    <row r="42" spans="1:13" x14ac:dyDescent="0.25">
      <c r="A42" s="132" t="s">
        <v>26</v>
      </c>
      <c r="B42" s="132" t="s">
        <v>42</v>
      </c>
      <c r="C42" s="132" t="s">
        <v>44</v>
      </c>
      <c r="D42" s="132" t="s">
        <v>41</v>
      </c>
      <c r="E42" s="133">
        <v>53593.591538461544</v>
      </c>
      <c r="F42" s="133">
        <v>53593.591538461544</v>
      </c>
      <c r="G42" s="134" t="s">
        <v>186</v>
      </c>
      <c r="H42" s="133">
        <v>53593.591538461544</v>
      </c>
      <c r="I42" s="134" t="s">
        <v>186</v>
      </c>
      <c r="J42" s="133">
        <v>53593.591538461544</v>
      </c>
      <c r="K42" s="134" t="s">
        <v>186</v>
      </c>
      <c r="L42" s="133">
        <v>53593.591538461544</v>
      </c>
      <c r="M42" s="134" t="s">
        <v>186</v>
      </c>
    </row>
    <row r="43" spans="1:13" ht="45" x14ac:dyDescent="0.25">
      <c r="A43" s="132" t="s">
        <v>26</v>
      </c>
      <c r="B43" s="132" t="s">
        <v>42</v>
      </c>
      <c r="C43" s="132" t="s">
        <v>156</v>
      </c>
      <c r="D43" s="132" t="s">
        <v>157</v>
      </c>
      <c r="E43" s="133">
        <v>18310.153273878263</v>
      </c>
      <c r="F43" s="133">
        <v>18310.153273878263</v>
      </c>
      <c r="G43" s="134" t="s">
        <v>186</v>
      </c>
      <c r="H43" s="133">
        <v>18310.153273878263</v>
      </c>
      <c r="I43" s="134" t="s">
        <v>186</v>
      </c>
      <c r="J43" s="133">
        <v>18310.153273878263</v>
      </c>
      <c r="K43" s="134" t="s">
        <v>186</v>
      </c>
      <c r="L43" s="133">
        <v>18310.153273878263</v>
      </c>
      <c r="M43" s="134" t="s">
        <v>186</v>
      </c>
    </row>
    <row r="44" spans="1:13" x14ac:dyDescent="0.25">
      <c r="A44" s="132" t="s">
        <v>26</v>
      </c>
      <c r="B44" s="132" t="s">
        <v>42</v>
      </c>
      <c r="C44" s="132" t="s">
        <v>45</v>
      </c>
      <c r="D44" s="132" t="s">
        <v>46</v>
      </c>
      <c r="E44" s="133">
        <v>26811.295865321739</v>
      </c>
      <c r="F44" s="133">
        <v>26811.295865321739</v>
      </c>
      <c r="G44" s="134" t="s">
        <v>186</v>
      </c>
      <c r="H44" s="133">
        <v>26811.295865321739</v>
      </c>
      <c r="I44" s="134" t="s">
        <v>186</v>
      </c>
      <c r="J44" s="133">
        <v>26811.295865321739</v>
      </c>
      <c r="K44" s="134" t="s">
        <v>186</v>
      </c>
      <c r="L44" s="133">
        <v>26811.295865321739</v>
      </c>
      <c r="M44" s="134" t="s">
        <v>186</v>
      </c>
    </row>
    <row r="45" spans="1:13" x14ac:dyDescent="0.25">
      <c r="A45" s="132" t="s">
        <v>26</v>
      </c>
      <c r="B45" s="132" t="s">
        <v>42</v>
      </c>
      <c r="C45" s="132" t="s">
        <v>92</v>
      </c>
      <c r="D45" s="132" t="s">
        <v>30</v>
      </c>
      <c r="E45" s="133">
        <v>19379.126958333338</v>
      </c>
      <c r="F45" s="133">
        <v>19379.126958333338</v>
      </c>
      <c r="G45" s="134" t="s">
        <v>186</v>
      </c>
      <c r="H45" s="133">
        <v>19379.126958333338</v>
      </c>
      <c r="I45" s="134" t="s">
        <v>186</v>
      </c>
      <c r="J45" s="133">
        <v>19379.126958333338</v>
      </c>
      <c r="K45" s="134" t="s">
        <v>186</v>
      </c>
      <c r="L45" s="133">
        <v>19379.126958333338</v>
      </c>
      <c r="M45" s="134" t="s">
        <v>186</v>
      </c>
    </row>
    <row r="46" spans="1:13" x14ac:dyDescent="0.25">
      <c r="A46" s="132" t="s">
        <v>26</v>
      </c>
      <c r="B46" s="132" t="s">
        <v>42</v>
      </c>
      <c r="C46" s="132" t="s">
        <v>158</v>
      </c>
      <c r="D46" s="132" t="s">
        <v>30</v>
      </c>
      <c r="E46" s="133">
        <v>3875.8253916666677</v>
      </c>
      <c r="F46" s="133">
        <v>3875.8253916666677</v>
      </c>
      <c r="G46" s="134" t="s">
        <v>186</v>
      </c>
      <c r="H46" s="133">
        <v>3875.8253916666677</v>
      </c>
      <c r="I46" s="134" t="s">
        <v>186</v>
      </c>
      <c r="J46" s="133">
        <v>3875.8253916666677</v>
      </c>
      <c r="K46" s="134" t="s">
        <v>186</v>
      </c>
      <c r="L46" s="133">
        <v>3875.8253916666677</v>
      </c>
      <c r="M46" s="134" t="s">
        <v>186</v>
      </c>
    </row>
    <row r="47" spans="1:13" x14ac:dyDescent="0.25">
      <c r="A47" s="132" t="s">
        <v>26</v>
      </c>
      <c r="B47" s="132" t="s">
        <v>47</v>
      </c>
      <c r="C47" s="132" t="s">
        <v>47</v>
      </c>
      <c r="D47" s="132" t="s">
        <v>30</v>
      </c>
      <c r="E47" s="133">
        <v>231366.75872000019</v>
      </c>
      <c r="F47" s="133">
        <v>231366.75872000019</v>
      </c>
      <c r="G47" s="134" t="s">
        <v>186</v>
      </c>
      <c r="H47" s="133">
        <v>231366.75872000019</v>
      </c>
      <c r="I47" s="134" t="s">
        <v>186</v>
      </c>
      <c r="J47" s="133">
        <v>231366.75872000019</v>
      </c>
      <c r="K47" s="134" t="s">
        <v>186</v>
      </c>
      <c r="L47" s="133">
        <v>231366.75872000019</v>
      </c>
      <c r="M47" s="134" t="s">
        <v>186</v>
      </c>
    </row>
    <row r="48" spans="1:13" ht="45" x14ac:dyDescent="0.25">
      <c r="A48" s="132" t="s">
        <v>26</v>
      </c>
      <c r="B48" s="132" t="s">
        <v>51</v>
      </c>
      <c r="C48" s="132" t="s">
        <v>73</v>
      </c>
      <c r="D48" s="132" t="s">
        <v>159</v>
      </c>
      <c r="E48" s="133">
        <v>48467.366153846124</v>
      </c>
      <c r="F48" s="133">
        <v>48467.366153846124</v>
      </c>
      <c r="G48" s="134" t="s">
        <v>186</v>
      </c>
      <c r="H48" s="133">
        <v>48467.366153846124</v>
      </c>
      <c r="I48" s="134" t="s">
        <v>186</v>
      </c>
      <c r="J48" s="133">
        <v>48467.366153846124</v>
      </c>
      <c r="K48" s="134" t="s">
        <v>186</v>
      </c>
      <c r="L48" s="133">
        <v>48467.366153846124</v>
      </c>
      <c r="M48" s="134" t="s">
        <v>186</v>
      </c>
    </row>
    <row r="49" spans="1:13" ht="45" x14ac:dyDescent="0.25">
      <c r="A49" s="132" t="s">
        <v>26</v>
      </c>
      <c r="B49" s="132" t="s">
        <v>51</v>
      </c>
      <c r="C49" s="132" t="s">
        <v>73</v>
      </c>
      <c r="D49" s="132" t="s">
        <v>160</v>
      </c>
      <c r="E49" s="133">
        <v>37063.279999999977</v>
      </c>
      <c r="F49" s="133">
        <v>25659.19384615383</v>
      </c>
      <c r="G49" s="134" t="s">
        <v>192</v>
      </c>
      <c r="H49" s="133">
        <v>25659.19384615383</v>
      </c>
      <c r="I49" s="134" t="s">
        <v>192</v>
      </c>
      <c r="J49" s="133">
        <v>22808.172307692294</v>
      </c>
      <c r="K49" s="134" t="s">
        <v>193</v>
      </c>
      <c r="L49" s="133">
        <v>0</v>
      </c>
      <c r="M49" s="134" t="s">
        <v>187</v>
      </c>
    </row>
    <row r="50" spans="1:13" ht="45" x14ac:dyDescent="0.25">
      <c r="A50" s="132" t="s">
        <v>26</v>
      </c>
      <c r="B50" s="132" t="s">
        <v>51</v>
      </c>
      <c r="C50" s="132" t="s">
        <v>73</v>
      </c>
      <c r="D50" s="132" t="s">
        <v>161</v>
      </c>
      <c r="E50" s="133">
        <v>2851.0215384615367</v>
      </c>
      <c r="F50" s="133">
        <v>2851.0215384615367</v>
      </c>
      <c r="G50" s="134" t="s">
        <v>186</v>
      </c>
      <c r="H50" s="133">
        <v>2851.0215384615367</v>
      </c>
      <c r="I50" s="134" t="s">
        <v>186</v>
      </c>
      <c r="J50" s="133">
        <v>0</v>
      </c>
      <c r="K50" s="134" t="s">
        <v>187</v>
      </c>
      <c r="L50" s="133">
        <v>0</v>
      </c>
      <c r="M50" s="134" t="s">
        <v>187</v>
      </c>
    </row>
    <row r="51" spans="1:13" ht="45" x14ac:dyDescent="0.25">
      <c r="A51" s="132" t="s">
        <v>26</v>
      </c>
      <c r="B51" s="132" t="s">
        <v>51</v>
      </c>
      <c r="C51" s="132" t="s">
        <v>72</v>
      </c>
      <c r="D51" s="132" t="s">
        <v>159</v>
      </c>
      <c r="E51" s="133">
        <v>56297.169999999955</v>
      </c>
      <c r="F51" s="133">
        <v>56297.169999999955</v>
      </c>
      <c r="G51" s="134" t="s">
        <v>186</v>
      </c>
      <c r="H51" s="133">
        <v>56297.169999999955</v>
      </c>
      <c r="I51" s="134" t="s">
        <v>186</v>
      </c>
      <c r="J51" s="133">
        <v>56297.169999999955</v>
      </c>
      <c r="K51" s="134" t="s">
        <v>186</v>
      </c>
      <c r="L51" s="133">
        <v>56297.169999999955</v>
      </c>
      <c r="M51" s="134" t="s">
        <v>186</v>
      </c>
    </row>
    <row r="52" spans="1:13" ht="45" x14ac:dyDescent="0.25">
      <c r="A52" s="132" t="s">
        <v>26</v>
      </c>
      <c r="B52" s="132" t="s">
        <v>51</v>
      </c>
      <c r="C52" s="132" t="s">
        <v>72</v>
      </c>
      <c r="D52" s="132" t="s">
        <v>160</v>
      </c>
      <c r="E52" s="133">
        <v>56297.169999999955</v>
      </c>
      <c r="F52" s="133">
        <v>56297.169999999955</v>
      </c>
      <c r="G52" s="134" t="s">
        <v>186</v>
      </c>
      <c r="H52" s="133">
        <v>56297.169999999955</v>
      </c>
      <c r="I52" s="134" t="s">
        <v>186</v>
      </c>
      <c r="J52" s="133">
        <v>56297.169999999955</v>
      </c>
      <c r="K52" s="134" t="s">
        <v>186</v>
      </c>
      <c r="L52" s="133">
        <v>56297.169999999955</v>
      </c>
      <c r="M52" s="134" t="s">
        <v>186</v>
      </c>
    </row>
    <row r="53" spans="1:13" ht="45" x14ac:dyDescent="0.25">
      <c r="A53" s="132" t="s">
        <v>26</v>
      </c>
      <c r="B53" s="132" t="s">
        <v>51</v>
      </c>
      <c r="C53" s="132" t="s">
        <v>69</v>
      </c>
      <c r="D53" s="132" t="s">
        <v>159</v>
      </c>
      <c r="E53" s="133">
        <v>51802.619999999923</v>
      </c>
      <c r="F53" s="133">
        <v>51802.619999999923</v>
      </c>
      <c r="G53" s="134" t="s">
        <v>186</v>
      </c>
      <c r="H53" s="133">
        <v>51802.619999999923</v>
      </c>
      <c r="I53" s="134" t="s">
        <v>186</v>
      </c>
      <c r="J53" s="133">
        <v>51802.619999999923</v>
      </c>
      <c r="K53" s="134" t="s">
        <v>186</v>
      </c>
      <c r="L53" s="133">
        <v>51802.619999999923</v>
      </c>
      <c r="M53" s="134" t="s">
        <v>186</v>
      </c>
    </row>
    <row r="54" spans="1:13" ht="45" x14ac:dyDescent="0.25">
      <c r="A54" s="132" t="s">
        <v>26</v>
      </c>
      <c r="B54" s="132" t="s">
        <v>51</v>
      </c>
      <c r="C54" s="132" t="s">
        <v>69</v>
      </c>
      <c r="D54" s="132" t="s">
        <v>160</v>
      </c>
      <c r="E54" s="133">
        <v>51802.619999999923</v>
      </c>
      <c r="F54" s="133">
        <v>51802.619999999923</v>
      </c>
      <c r="G54" s="134" t="s">
        <v>186</v>
      </c>
      <c r="H54" s="133">
        <v>51802.619999999923</v>
      </c>
      <c r="I54" s="134" t="s">
        <v>186</v>
      </c>
      <c r="J54" s="133">
        <v>51802.619999999923</v>
      </c>
      <c r="K54" s="134" t="s">
        <v>186</v>
      </c>
      <c r="L54" s="133">
        <v>51802.619999999923</v>
      </c>
      <c r="M54" s="134" t="s">
        <v>186</v>
      </c>
    </row>
    <row r="55" spans="1:13" ht="45" x14ac:dyDescent="0.25">
      <c r="A55" s="132" t="s">
        <v>26</v>
      </c>
      <c r="B55" s="132" t="s">
        <v>51</v>
      </c>
      <c r="C55" s="132" t="s">
        <v>68</v>
      </c>
      <c r="D55" s="132" t="s">
        <v>159</v>
      </c>
      <c r="E55" s="133">
        <v>89929.743749999994</v>
      </c>
      <c r="F55" s="133">
        <v>89929.743749999994</v>
      </c>
      <c r="G55" s="134" t="s">
        <v>186</v>
      </c>
      <c r="H55" s="133">
        <v>89929.743749999994</v>
      </c>
      <c r="I55" s="134" t="s">
        <v>186</v>
      </c>
      <c r="J55" s="133">
        <v>89929.743749999994</v>
      </c>
      <c r="K55" s="134" t="s">
        <v>186</v>
      </c>
      <c r="L55" s="133">
        <v>89929.743749999994</v>
      </c>
      <c r="M55" s="134" t="s">
        <v>186</v>
      </c>
    </row>
    <row r="56" spans="1:13" ht="45" x14ac:dyDescent="0.25">
      <c r="A56" s="132" t="s">
        <v>26</v>
      </c>
      <c r="B56" s="132" t="s">
        <v>51</v>
      </c>
      <c r="C56" s="132" t="s">
        <v>68</v>
      </c>
      <c r="D56" s="132" t="s">
        <v>160</v>
      </c>
      <c r="E56" s="133">
        <v>5995.3162499999999</v>
      </c>
      <c r="F56" s="133">
        <v>5995.3162499999999</v>
      </c>
      <c r="G56" s="134" t="s">
        <v>186</v>
      </c>
      <c r="H56" s="133">
        <v>5995.3162499999999</v>
      </c>
      <c r="I56" s="134" t="s">
        <v>186</v>
      </c>
      <c r="J56" s="133">
        <v>5995.3162499999999</v>
      </c>
      <c r="K56" s="134" t="s">
        <v>186</v>
      </c>
      <c r="L56" s="133">
        <v>5995.3162499999999</v>
      </c>
      <c r="M56" s="134" t="s">
        <v>186</v>
      </c>
    </row>
    <row r="57" spans="1:13" ht="45" x14ac:dyDescent="0.25">
      <c r="A57" s="132" t="s">
        <v>26</v>
      </c>
      <c r="B57" s="132" t="s">
        <v>51</v>
      </c>
      <c r="C57" s="132" t="s">
        <v>60</v>
      </c>
      <c r="D57" s="132" t="s">
        <v>159</v>
      </c>
      <c r="E57" s="133">
        <v>84125.098536585356</v>
      </c>
      <c r="F57" s="133">
        <v>84125.098536585356</v>
      </c>
      <c r="G57" s="134" t="s">
        <v>186</v>
      </c>
      <c r="H57" s="133">
        <v>84125.098536585356</v>
      </c>
      <c r="I57" s="134" t="s">
        <v>186</v>
      </c>
      <c r="J57" s="133">
        <v>84125.098536585356</v>
      </c>
      <c r="K57" s="134" t="s">
        <v>186</v>
      </c>
      <c r="L57" s="133">
        <v>84125.098536585356</v>
      </c>
      <c r="M57" s="134" t="s">
        <v>186</v>
      </c>
    </row>
    <row r="58" spans="1:13" ht="45" x14ac:dyDescent="0.25">
      <c r="A58" s="132" t="s">
        <v>26</v>
      </c>
      <c r="B58" s="132" t="s">
        <v>51</v>
      </c>
      <c r="C58" s="132" t="s">
        <v>60</v>
      </c>
      <c r="D58" s="132" t="s">
        <v>160</v>
      </c>
      <c r="E58" s="133">
        <v>11684.041463414633</v>
      </c>
      <c r="F58" s="133">
        <v>11684.041463414633</v>
      </c>
      <c r="G58" s="134" t="s">
        <v>186</v>
      </c>
      <c r="H58" s="133">
        <v>11684.041463414633</v>
      </c>
      <c r="I58" s="134" t="s">
        <v>186</v>
      </c>
      <c r="J58" s="133">
        <v>11684.041463414633</v>
      </c>
      <c r="K58" s="134" t="s">
        <v>186</v>
      </c>
      <c r="L58" s="133">
        <v>11684.041463414633</v>
      </c>
      <c r="M58" s="134" t="s">
        <v>186</v>
      </c>
    </row>
    <row r="59" spans="1:13" ht="45" x14ac:dyDescent="0.25">
      <c r="A59" s="132" t="s">
        <v>26</v>
      </c>
      <c r="B59" s="132" t="s">
        <v>51</v>
      </c>
      <c r="C59" s="132" t="s">
        <v>57</v>
      </c>
      <c r="D59" s="132" t="s">
        <v>159</v>
      </c>
      <c r="E59" s="133">
        <v>92753.886822227039</v>
      </c>
      <c r="F59" s="133">
        <v>92753.886822227039</v>
      </c>
      <c r="G59" s="134" t="s">
        <v>186</v>
      </c>
      <c r="H59" s="133">
        <v>92753.886822227039</v>
      </c>
      <c r="I59" s="134" t="s">
        <v>186</v>
      </c>
      <c r="J59" s="133">
        <v>92753.886822227039</v>
      </c>
      <c r="K59" s="134" t="s">
        <v>186</v>
      </c>
      <c r="L59" s="133">
        <v>92753.886822227039</v>
      </c>
      <c r="M59" s="134" t="s">
        <v>186</v>
      </c>
    </row>
    <row r="60" spans="1:13" ht="45" x14ac:dyDescent="0.25">
      <c r="A60" s="132" t="s">
        <v>26</v>
      </c>
      <c r="B60" s="132" t="s">
        <v>51</v>
      </c>
      <c r="C60" s="132" t="s">
        <v>57</v>
      </c>
      <c r="D60" s="132" t="s">
        <v>160</v>
      </c>
      <c r="E60" s="133">
        <v>2576.4968561729734</v>
      </c>
      <c r="F60" s="133">
        <v>2576.4968561729734</v>
      </c>
      <c r="G60" s="134" t="s">
        <v>186</v>
      </c>
      <c r="H60" s="133">
        <v>2576.4968561729734</v>
      </c>
      <c r="I60" s="134" t="s">
        <v>186</v>
      </c>
      <c r="J60" s="133">
        <v>2576.4968561729734</v>
      </c>
      <c r="K60" s="134" t="s">
        <v>186</v>
      </c>
      <c r="L60" s="133">
        <v>2576.4968561729734</v>
      </c>
      <c r="M60" s="134" t="s">
        <v>186</v>
      </c>
    </row>
    <row r="61" spans="1:13" ht="45" x14ac:dyDescent="0.25">
      <c r="A61" s="132" t="s">
        <v>26</v>
      </c>
      <c r="B61" s="132" t="s">
        <v>51</v>
      </c>
      <c r="C61" s="132" t="s">
        <v>55</v>
      </c>
      <c r="D61" s="132" t="s">
        <v>159</v>
      </c>
      <c r="E61" s="133">
        <v>33687.787500000006</v>
      </c>
      <c r="F61" s="133">
        <v>33687.787500000006</v>
      </c>
      <c r="G61" s="134" t="s">
        <v>186</v>
      </c>
      <c r="H61" s="133">
        <v>33687.787500000006</v>
      </c>
      <c r="I61" s="134" t="s">
        <v>186</v>
      </c>
      <c r="J61" s="133">
        <v>33687.787500000006</v>
      </c>
      <c r="K61" s="134" t="s">
        <v>186</v>
      </c>
      <c r="L61" s="133">
        <v>33687.787500000006</v>
      </c>
      <c r="M61" s="134" t="s">
        <v>186</v>
      </c>
    </row>
    <row r="62" spans="1:13" ht="45" x14ac:dyDescent="0.25">
      <c r="A62" s="132" t="s">
        <v>26</v>
      </c>
      <c r="B62" s="132" t="s">
        <v>51</v>
      </c>
      <c r="C62" s="132" t="s">
        <v>55</v>
      </c>
      <c r="D62" s="132" t="s">
        <v>160</v>
      </c>
      <c r="E62" s="133">
        <v>1464.6864130434785</v>
      </c>
      <c r="F62" s="133">
        <v>1464.6864130434785</v>
      </c>
      <c r="G62" s="134" t="s">
        <v>186</v>
      </c>
      <c r="H62" s="133">
        <v>1464.6864130434785</v>
      </c>
      <c r="I62" s="134" t="s">
        <v>186</v>
      </c>
      <c r="J62" s="133">
        <v>1464.6864130434785</v>
      </c>
      <c r="K62" s="134" t="s">
        <v>186</v>
      </c>
      <c r="L62" s="133">
        <v>1464.6864130434785</v>
      </c>
      <c r="M62" s="134" t="s">
        <v>186</v>
      </c>
    </row>
    <row r="63" spans="1:13" ht="45" x14ac:dyDescent="0.25">
      <c r="A63" s="132" t="s">
        <v>26</v>
      </c>
      <c r="B63" s="132" t="s">
        <v>51</v>
      </c>
      <c r="C63" s="132" t="s">
        <v>55</v>
      </c>
      <c r="D63" s="132" t="s">
        <v>162</v>
      </c>
      <c r="E63" s="133">
        <v>99598.676086956533</v>
      </c>
      <c r="F63" s="133">
        <v>99598.676086956533</v>
      </c>
      <c r="G63" s="134" t="s">
        <v>186</v>
      </c>
      <c r="H63" s="133">
        <v>99598.676086956533</v>
      </c>
      <c r="I63" s="134" t="s">
        <v>186</v>
      </c>
      <c r="J63" s="133">
        <v>99598.676086956533</v>
      </c>
      <c r="K63" s="134" t="s">
        <v>186</v>
      </c>
      <c r="L63" s="133">
        <v>99598.676086956533</v>
      </c>
      <c r="M63" s="134" t="s">
        <v>186</v>
      </c>
    </row>
    <row r="64" spans="1:13" ht="45" x14ac:dyDescent="0.25">
      <c r="A64" s="132" t="s">
        <v>26</v>
      </c>
      <c r="B64" s="132" t="s">
        <v>51</v>
      </c>
      <c r="C64" s="132" t="s">
        <v>52</v>
      </c>
      <c r="D64" s="132" t="s">
        <v>159</v>
      </c>
      <c r="E64" s="133">
        <v>67096.790270270314</v>
      </c>
      <c r="F64" s="133">
        <v>67096.790270270314</v>
      </c>
      <c r="G64" s="134" t="s">
        <v>186</v>
      </c>
      <c r="H64" s="133">
        <v>67096.790270270314</v>
      </c>
      <c r="I64" s="134" t="s">
        <v>186</v>
      </c>
      <c r="J64" s="133">
        <v>67096.790270270314</v>
      </c>
      <c r="K64" s="134" t="s">
        <v>186</v>
      </c>
      <c r="L64" s="133">
        <v>67096.790270270314</v>
      </c>
      <c r="M64" s="134" t="s">
        <v>186</v>
      </c>
    </row>
    <row r="65" spans="1:13" ht="45" x14ac:dyDescent="0.25">
      <c r="A65" s="132" t="s">
        <v>26</v>
      </c>
      <c r="B65" s="132" t="s">
        <v>51</v>
      </c>
      <c r="C65" s="132" t="s">
        <v>52</v>
      </c>
      <c r="D65" s="132" t="s">
        <v>163</v>
      </c>
      <c r="E65" s="133">
        <v>1863.7997297297309</v>
      </c>
      <c r="F65" s="133">
        <v>1863.7997297297309</v>
      </c>
      <c r="G65" s="134" t="s">
        <v>186</v>
      </c>
      <c r="H65" s="133">
        <v>1863.7997297297309</v>
      </c>
      <c r="I65" s="134" t="s">
        <v>186</v>
      </c>
      <c r="J65" s="133">
        <v>1863.7997297297309</v>
      </c>
      <c r="K65" s="134" t="s">
        <v>186</v>
      </c>
      <c r="L65" s="133">
        <v>1863.7997297297309</v>
      </c>
      <c r="M65" s="134" t="s">
        <v>186</v>
      </c>
    </row>
    <row r="66" spans="1:13" ht="30" x14ac:dyDescent="0.25">
      <c r="A66" s="134" t="s">
        <v>114</v>
      </c>
      <c r="B66" s="134" t="s">
        <v>114</v>
      </c>
      <c r="C66" s="134" t="s">
        <v>114</v>
      </c>
      <c r="D66" s="134" t="s">
        <v>114</v>
      </c>
      <c r="E66" s="134" t="s">
        <v>241</v>
      </c>
      <c r="F66" s="134" t="s">
        <v>242</v>
      </c>
      <c r="G66" s="134" t="s">
        <v>114</v>
      </c>
      <c r="H66" s="134" t="s">
        <v>243</v>
      </c>
      <c r="I66" s="134" t="s">
        <v>114</v>
      </c>
      <c r="J66" s="134" t="s">
        <v>244</v>
      </c>
      <c r="K66" s="134" t="s">
        <v>114</v>
      </c>
      <c r="L66" s="134" t="s">
        <v>245</v>
      </c>
      <c r="M66" s="134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F1FB7-FE9F-4FFF-AD5F-31E18E4AEB61}">
  <dimension ref="A1:M66"/>
  <sheetViews>
    <sheetView topLeftCell="A54" workbookViewId="0">
      <selection activeCell="A2" sqref="A2:M65"/>
    </sheetView>
  </sheetViews>
  <sheetFormatPr defaultRowHeight="15" x14ac:dyDescent="0.25"/>
  <sheetData>
    <row r="1" spans="1:13" x14ac:dyDescent="0.25">
      <c r="A1" s="135" t="s">
        <v>218</v>
      </c>
      <c r="B1" s="135" t="s">
        <v>231</v>
      </c>
      <c r="C1" s="135" t="s">
        <v>177</v>
      </c>
      <c r="D1" s="135" t="s">
        <v>178</v>
      </c>
      <c r="E1" s="135" t="s">
        <v>179</v>
      </c>
      <c r="F1" s="135" t="s">
        <v>106</v>
      </c>
      <c r="G1" s="135" t="s">
        <v>180</v>
      </c>
      <c r="H1" s="135" t="s">
        <v>108</v>
      </c>
      <c r="I1" s="135" t="s">
        <v>181</v>
      </c>
      <c r="J1" s="135" t="s">
        <v>182</v>
      </c>
      <c r="K1" s="135" t="s">
        <v>183</v>
      </c>
      <c r="L1" s="135" t="s">
        <v>223</v>
      </c>
      <c r="M1" s="135" t="s">
        <v>224</v>
      </c>
    </row>
    <row r="2" spans="1:13" x14ac:dyDescent="0.25">
      <c r="A2" s="136" t="s">
        <v>26</v>
      </c>
      <c r="B2" s="136" t="s">
        <v>54</v>
      </c>
      <c r="C2" s="136" t="s">
        <v>82</v>
      </c>
      <c r="D2" s="136" t="s">
        <v>83</v>
      </c>
      <c r="E2" s="137">
        <v>61548.353999999999</v>
      </c>
      <c r="F2" s="137">
        <v>0</v>
      </c>
      <c r="G2" s="138" t="s">
        <v>187</v>
      </c>
      <c r="H2" s="137">
        <v>0</v>
      </c>
      <c r="I2" s="138" t="s">
        <v>187</v>
      </c>
      <c r="J2" s="137">
        <v>0</v>
      </c>
      <c r="K2" s="138" t="s">
        <v>187</v>
      </c>
      <c r="L2" s="137">
        <v>0</v>
      </c>
      <c r="M2" s="138" t="s">
        <v>187</v>
      </c>
    </row>
    <row r="3" spans="1:13" x14ac:dyDescent="0.25">
      <c r="A3" s="136" t="s">
        <v>26</v>
      </c>
      <c r="B3" s="136" t="s">
        <v>54</v>
      </c>
      <c r="C3" s="136" t="s">
        <v>84</v>
      </c>
      <c r="D3" s="136" t="s">
        <v>83</v>
      </c>
      <c r="E3" s="137">
        <v>61548.354399999989</v>
      </c>
      <c r="F3" s="137">
        <v>0</v>
      </c>
      <c r="G3" s="138" t="s">
        <v>187</v>
      </c>
      <c r="H3" s="137">
        <v>0</v>
      </c>
      <c r="I3" s="138" t="s">
        <v>187</v>
      </c>
      <c r="J3" s="137">
        <v>0</v>
      </c>
      <c r="K3" s="138" t="s">
        <v>187</v>
      </c>
      <c r="L3" s="137">
        <v>0</v>
      </c>
      <c r="M3" s="138" t="s">
        <v>187</v>
      </c>
    </row>
    <row r="4" spans="1:13" x14ac:dyDescent="0.25">
      <c r="A4" s="136" t="s">
        <v>26</v>
      </c>
      <c r="B4" s="136" t="s">
        <v>54</v>
      </c>
      <c r="C4" s="136" t="s">
        <v>94</v>
      </c>
      <c r="D4" s="136" t="s">
        <v>101</v>
      </c>
      <c r="E4" s="137">
        <v>116529.73999999999</v>
      </c>
      <c r="F4" s="137">
        <v>67975.681666666671</v>
      </c>
      <c r="G4" s="138" t="s">
        <v>226</v>
      </c>
      <c r="H4" s="137">
        <v>48554.058333333334</v>
      </c>
      <c r="I4" s="138" t="s">
        <v>227</v>
      </c>
      <c r="J4" s="137">
        <v>14566.217499999999</v>
      </c>
      <c r="K4" s="138" t="s">
        <v>203</v>
      </c>
      <c r="L4" s="137">
        <v>0</v>
      </c>
      <c r="M4" s="138" t="s">
        <v>187</v>
      </c>
    </row>
    <row r="5" spans="1:13" ht="30" x14ac:dyDescent="0.25">
      <c r="A5" s="136" t="s">
        <v>26</v>
      </c>
      <c r="B5" s="136" t="s">
        <v>54</v>
      </c>
      <c r="C5" s="136" t="s">
        <v>79</v>
      </c>
      <c r="D5" s="136" t="s">
        <v>59</v>
      </c>
      <c r="E5" s="137">
        <v>66526.931673225015</v>
      </c>
      <c r="F5" s="137">
        <v>66526.931673225015</v>
      </c>
      <c r="G5" s="138" t="s">
        <v>186</v>
      </c>
      <c r="H5" s="137">
        <v>66526.931673225015</v>
      </c>
      <c r="I5" s="138" t="s">
        <v>186</v>
      </c>
      <c r="J5" s="137">
        <v>66526.931673225015</v>
      </c>
      <c r="K5" s="138" t="s">
        <v>186</v>
      </c>
      <c r="L5" s="137">
        <v>66526.931673225015</v>
      </c>
      <c r="M5" s="138" t="s">
        <v>186</v>
      </c>
    </row>
    <row r="6" spans="1:13" ht="30" x14ac:dyDescent="0.25">
      <c r="A6" s="136" t="s">
        <v>26</v>
      </c>
      <c r="B6" s="136" t="s">
        <v>54</v>
      </c>
      <c r="C6" s="136" t="s">
        <v>80</v>
      </c>
      <c r="D6" s="136" t="s">
        <v>59</v>
      </c>
      <c r="E6" s="137">
        <v>27322.570000000014</v>
      </c>
      <c r="F6" s="137">
        <v>27322.570000000014</v>
      </c>
      <c r="G6" s="138" t="s">
        <v>186</v>
      </c>
      <c r="H6" s="137">
        <v>27322.570000000014</v>
      </c>
      <c r="I6" s="138" t="s">
        <v>186</v>
      </c>
      <c r="J6" s="137">
        <v>27322.570000000014</v>
      </c>
      <c r="K6" s="138" t="s">
        <v>186</v>
      </c>
      <c r="L6" s="137">
        <v>27322.570000000014</v>
      </c>
      <c r="M6" s="138" t="s">
        <v>186</v>
      </c>
    </row>
    <row r="7" spans="1:13" ht="30" x14ac:dyDescent="0.25">
      <c r="A7" s="136" t="s">
        <v>26</v>
      </c>
      <c r="B7" s="136" t="s">
        <v>54</v>
      </c>
      <c r="C7" s="136" t="s">
        <v>89</v>
      </c>
      <c r="D7" s="136" t="s">
        <v>59</v>
      </c>
      <c r="E7" s="137">
        <v>7738.8999999999987</v>
      </c>
      <c r="F7" s="137">
        <v>7738.8999999999987</v>
      </c>
      <c r="G7" s="138" t="s">
        <v>186</v>
      </c>
      <c r="H7" s="137">
        <v>7738.8999999999987</v>
      </c>
      <c r="I7" s="138" t="s">
        <v>186</v>
      </c>
      <c r="J7" s="137">
        <v>7738.8999999999987</v>
      </c>
      <c r="K7" s="138" t="s">
        <v>186</v>
      </c>
      <c r="L7" s="137">
        <v>7738.8999999999987</v>
      </c>
      <c r="M7" s="138" t="s">
        <v>186</v>
      </c>
    </row>
    <row r="8" spans="1:13" ht="30" x14ac:dyDescent="0.25">
      <c r="A8" s="136" t="s">
        <v>26</v>
      </c>
      <c r="B8" s="136" t="s">
        <v>54</v>
      </c>
      <c r="C8" s="136" t="s">
        <v>90</v>
      </c>
      <c r="D8" s="136" t="s">
        <v>59</v>
      </c>
      <c r="E8" s="137">
        <v>12606.7</v>
      </c>
      <c r="F8" s="137">
        <v>12606.7</v>
      </c>
      <c r="G8" s="138" t="s">
        <v>186</v>
      </c>
      <c r="H8" s="137">
        <v>12606.7</v>
      </c>
      <c r="I8" s="138" t="s">
        <v>186</v>
      </c>
      <c r="J8" s="137">
        <v>12606.7</v>
      </c>
      <c r="K8" s="138" t="s">
        <v>186</v>
      </c>
      <c r="L8" s="137">
        <v>12606.7</v>
      </c>
      <c r="M8" s="138" t="s">
        <v>186</v>
      </c>
    </row>
    <row r="9" spans="1:13" ht="30" x14ac:dyDescent="0.25">
      <c r="A9" s="136" t="s">
        <v>26</v>
      </c>
      <c r="B9" s="136" t="s">
        <v>54</v>
      </c>
      <c r="C9" s="136" t="s">
        <v>87</v>
      </c>
      <c r="D9" s="136" t="s">
        <v>59</v>
      </c>
      <c r="E9" s="137">
        <v>11821.399999999996</v>
      </c>
      <c r="F9" s="137">
        <v>11821.399999999996</v>
      </c>
      <c r="G9" s="138" t="s">
        <v>186</v>
      </c>
      <c r="H9" s="137">
        <v>11821.399999999996</v>
      </c>
      <c r="I9" s="138" t="s">
        <v>186</v>
      </c>
      <c r="J9" s="137">
        <v>11821.399999999996</v>
      </c>
      <c r="K9" s="138" t="s">
        <v>186</v>
      </c>
      <c r="L9" s="137">
        <v>11821.399999999996</v>
      </c>
      <c r="M9" s="138" t="s">
        <v>186</v>
      </c>
    </row>
    <row r="10" spans="1:13" ht="30" x14ac:dyDescent="0.25">
      <c r="A10" s="136" t="s">
        <v>26</v>
      </c>
      <c r="B10" s="136" t="s">
        <v>54</v>
      </c>
      <c r="C10" s="136" t="s">
        <v>93</v>
      </c>
      <c r="D10" s="136" t="s">
        <v>59</v>
      </c>
      <c r="E10" s="137">
        <v>13649.199999999999</v>
      </c>
      <c r="F10" s="137">
        <v>13649.199999999999</v>
      </c>
      <c r="G10" s="138" t="s">
        <v>186</v>
      </c>
      <c r="H10" s="137">
        <v>13649.199999999999</v>
      </c>
      <c r="I10" s="138" t="s">
        <v>186</v>
      </c>
      <c r="J10" s="137">
        <v>13649.199999999999</v>
      </c>
      <c r="K10" s="138" t="s">
        <v>186</v>
      </c>
      <c r="L10" s="137">
        <v>13649.199999999999</v>
      </c>
      <c r="M10" s="138" t="s">
        <v>186</v>
      </c>
    </row>
    <row r="11" spans="1:13" ht="30" x14ac:dyDescent="0.25">
      <c r="A11" s="136" t="s">
        <v>26</v>
      </c>
      <c r="B11" s="136" t="s">
        <v>54</v>
      </c>
      <c r="C11" s="136" t="s">
        <v>58</v>
      </c>
      <c r="D11" s="136" t="s">
        <v>59</v>
      </c>
      <c r="E11" s="137">
        <v>18010.695291250006</v>
      </c>
      <c r="F11" s="137">
        <v>18010.695291250006</v>
      </c>
      <c r="G11" s="138" t="s">
        <v>186</v>
      </c>
      <c r="H11" s="137">
        <v>18010.695291250006</v>
      </c>
      <c r="I11" s="138" t="s">
        <v>186</v>
      </c>
      <c r="J11" s="137">
        <v>18010.695291250006</v>
      </c>
      <c r="K11" s="138" t="s">
        <v>186</v>
      </c>
      <c r="L11" s="137">
        <v>18010.695291250006</v>
      </c>
      <c r="M11" s="138" t="s">
        <v>186</v>
      </c>
    </row>
    <row r="12" spans="1:13" ht="30" x14ac:dyDescent="0.25">
      <c r="A12" s="136" t="s">
        <v>26</v>
      </c>
      <c r="B12" s="136" t="s">
        <v>54</v>
      </c>
      <c r="C12" s="136" t="s">
        <v>77</v>
      </c>
      <c r="D12" s="136" t="s">
        <v>59</v>
      </c>
      <c r="E12" s="137">
        <v>14499.954724850006</v>
      </c>
      <c r="F12" s="137">
        <v>14499.954724850006</v>
      </c>
      <c r="G12" s="138" t="s">
        <v>186</v>
      </c>
      <c r="H12" s="137">
        <v>14499.954724850006</v>
      </c>
      <c r="I12" s="138" t="s">
        <v>186</v>
      </c>
      <c r="J12" s="137">
        <v>14499.954724850006</v>
      </c>
      <c r="K12" s="138" t="s">
        <v>186</v>
      </c>
      <c r="L12" s="137">
        <v>14499.954724850006</v>
      </c>
      <c r="M12" s="138" t="s">
        <v>186</v>
      </c>
    </row>
    <row r="13" spans="1:13" ht="45" x14ac:dyDescent="0.25">
      <c r="A13" s="136" t="s">
        <v>26</v>
      </c>
      <c r="B13" s="136" t="s">
        <v>54</v>
      </c>
      <c r="C13" s="136" t="s">
        <v>62</v>
      </c>
      <c r="D13" s="136" t="s">
        <v>164</v>
      </c>
      <c r="E13" s="137">
        <v>83412.565384615358</v>
      </c>
      <c r="F13" s="137">
        <v>75468.51153846152</v>
      </c>
      <c r="G13" s="138" t="s">
        <v>194</v>
      </c>
      <c r="H13" s="137">
        <v>49650.336538461524</v>
      </c>
      <c r="I13" s="138" t="s">
        <v>232</v>
      </c>
      <c r="J13" s="137">
        <v>45678.309615384605</v>
      </c>
      <c r="K13" s="138" t="s">
        <v>240</v>
      </c>
      <c r="L13" s="137">
        <v>0</v>
      </c>
      <c r="M13" s="138" t="s">
        <v>187</v>
      </c>
    </row>
    <row r="14" spans="1:13" ht="45" x14ac:dyDescent="0.25">
      <c r="A14" s="136" t="s">
        <v>26</v>
      </c>
      <c r="B14" s="136" t="s">
        <v>54</v>
      </c>
      <c r="C14" s="136" t="s">
        <v>62</v>
      </c>
      <c r="D14" s="136" t="s">
        <v>165</v>
      </c>
      <c r="E14" s="137">
        <v>19860.13461538461</v>
      </c>
      <c r="F14" s="137">
        <v>7944.0538461538445</v>
      </c>
      <c r="G14" s="138" t="s">
        <v>197</v>
      </c>
      <c r="H14" s="137">
        <v>1986.0134615384611</v>
      </c>
      <c r="I14" s="138" t="s">
        <v>234</v>
      </c>
      <c r="J14" s="137">
        <v>0</v>
      </c>
      <c r="K14" s="138" t="s">
        <v>187</v>
      </c>
      <c r="L14" s="137">
        <v>0</v>
      </c>
      <c r="M14" s="138" t="s">
        <v>187</v>
      </c>
    </row>
    <row r="15" spans="1:13" ht="45" x14ac:dyDescent="0.25">
      <c r="A15" s="136" t="s">
        <v>26</v>
      </c>
      <c r="B15" s="136" t="s">
        <v>54</v>
      </c>
      <c r="C15" s="136" t="s">
        <v>64</v>
      </c>
      <c r="D15" s="136" t="s">
        <v>164</v>
      </c>
      <c r="E15" s="137">
        <v>53557.390769230769</v>
      </c>
      <c r="F15" s="137">
        <v>53557.390769230769</v>
      </c>
      <c r="G15" s="138" t="s">
        <v>186</v>
      </c>
      <c r="H15" s="137">
        <v>53557.390769230769</v>
      </c>
      <c r="I15" s="138" t="s">
        <v>186</v>
      </c>
      <c r="J15" s="137">
        <v>53557.390769230769</v>
      </c>
      <c r="K15" s="138" t="s">
        <v>186</v>
      </c>
      <c r="L15" s="137">
        <v>53557.390769230769</v>
      </c>
      <c r="M15" s="138" t="s">
        <v>186</v>
      </c>
    </row>
    <row r="16" spans="1:13" ht="45" x14ac:dyDescent="0.25">
      <c r="A16" s="136" t="s">
        <v>26</v>
      </c>
      <c r="B16" s="136" t="s">
        <v>54</v>
      </c>
      <c r="C16" s="136" t="s">
        <v>64</v>
      </c>
      <c r="D16" s="136" t="s">
        <v>165</v>
      </c>
      <c r="E16" s="137">
        <v>33473.369230769233</v>
      </c>
      <c r="F16" s="137">
        <v>33473.369230769233</v>
      </c>
      <c r="G16" s="138" t="s">
        <v>186</v>
      </c>
      <c r="H16" s="137">
        <v>33473.369230769233</v>
      </c>
      <c r="I16" s="138" t="s">
        <v>186</v>
      </c>
      <c r="J16" s="137">
        <v>33473.369230769233</v>
      </c>
      <c r="K16" s="138" t="s">
        <v>186</v>
      </c>
      <c r="L16" s="137">
        <v>33473.369230769233</v>
      </c>
      <c r="M16" s="138" t="s">
        <v>186</v>
      </c>
    </row>
    <row r="17" spans="1:13" ht="45" x14ac:dyDescent="0.25">
      <c r="A17" s="136" t="s">
        <v>26</v>
      </c>
      <c r="B17" s="136" t="s">
        <v>54</v>
      </c>
      <c r="C17" s="136" t="s">
        <v>71</v>
      </c>
      <c r="D17" s="136" t="s">
        <v>164</v>
      </c>
      <c r="E17" s="137">
        <v>82046.400000000009</v>
      </c>
      <c r="F17" s="137">
        <v>82046.400000000009</v>
      </c>
      <c r="G17" s="138" t="s">
        <v>186</v>
      </c>
      <c r="H17" s="137">
        <v>82046.400000000009</v>
      </c>
      <c r="I17" s="138" t="s">
        <v>186</v>
      </c>
      <c r="J17" s="137">
        <v>82046.400000000009</v>
      </c>
      <c r="K17" s="138" t="s">
        <v>186</v>
      </c>
      <c r="L17" s="137">
        <v>82046.400000000009</v>
      </c>
      <c r="M17" s="138" t="s">
        <v>186</v>
      </c>
    </row>
    <row r="18" spans="1:13" ht="45" x14ac:dyDescent="0.25">
      <c r="A18" s="136" t="s">
        <v>26</v>
      </c>
      <c r="B18" s="136" t="s">
        <v>54</v>
      </c>
      <c r="C18" s="136" t="s">
        <v>75</v>
      </c>
      <c r="D18" s="136" t="s">
        <v>164</v>
      </c>
      <c r="E18" s="137">
        <v>80497.16</v>
      </c>
      <c r="F18" s="137">
        <v>80497.16</v>
      </c>
      <c r="G18" s="138" t="s">
        <v>186</v>
      </c>
      <c r="H18" s="137">
        <v>80497.16</v>
      </c>
      <c r="I18" s="138" t="s">
        <v>186</v>
      </c>
      <c r="J18" s="137">
        <v>80497.16</v>
      </c>
      <c r="K18" s="138" t="s">
        <v>186</v>
      </c>
      <c r="L18" s="137">
        <v>80497.16</v>
      </c>
      <c r="M18" s="138" t="s">
        <v>186</v>
      </c>
    </row>
    <row r="19" spans="1:13" ht="45" x14ac:dyDescent="0.25">
      <c r="A19" s="136" t="s">
        <v>26</v>
      </c>
      <c r="B19" s="136" t="s">
        <v>54</v>
      </c>
      <c r="C19" s="136" t="s">
        <v>81</v>
      </c>
      <c r="D19" s="136" t="s">
        <v>165</v>
      </c>
      <c r="E19" s="137">
        <v>89010.219999999987</v>
      </c>
      <c r="F19" s="137">
        <v>89010.219999999987</v>
      </c>
      <c r="G19" s="138" t="s">
        <v>186</v>
      </c>
      <c r="H19" s="137">
        <v>89010.219999999987</v>
      </c>
      <c r="I19" s="138" t="s">
        <v>186</v>
      </c>
      <c r="J19" s="137">
        <v>89010.219999999987</v>
      </c>
      <c r="K19" s="138" t="s">
        <v>186</v>
      </c>
      <c r="L19" s="137">
        <v>89010.219999999987</v>
      </c>
      <c r="M19" s="138" t="s">
        <v>186</v>
      </c>
    </row>
    <row r="20" spans="1:13" ht="45" x14ac:dyDescent="0.25">
      <c r="A20" s="136" t="s">
        <v>26</v>
      </c>
      <c r="B20" s="136" t="s">
        <v>54</v>
      </c>
      <c r="C20" s="136" t="s">
        <v>85</v>
      </c>
      <c r="D20" s="136" t="s">
        <v>165</v>
      </c>
      <c r="E20" s="137">
        <v>88239.10000000002</v>
      </c>
      <c r="F20" s="137">
        <v>88239.10000000002</v>
      </c>
      <c r="G20" s="138" t="s">
        <v>186</v>
      </c>
      <c r="H20" s="137">
        <v>88239.10000000002</v>
      </c>
      <c r="I20" s="138" t="s">
        <v>186</v>
      </c>
      <c r="J20" s="137">
        <v>88239.10000000002</v>
      </c>
      <c r="K20" s="138" t="s">
        <v>186</v>
      </c>
      <c r="L20" s="137">
        <v>88239.10000000002</v>
      </c>
      <c r="M20" s="138" t="s">
        <v>186</v>
      </c>
    </row>
    <row r="21" spans="1:13" ht="45" x14ac:dyDescent="0.25">
      <c r="A21" s="136" t="s">
        <v>26</v>
      </c>
      <c r="B21" s="136" t="s">
        <v>54</v>
      </c>
      <c r="C21" s="136" t="s">
        <v>86</v>
      </c>
      <c r="D21" s="136" t="s">
        <v>164</v>
      </c>
      <c r="E21" s="137">
        <v>20377.497966666666</v>
      </c>
      <c r="F21" s="137">
        <v>3396.249661111111</v>
      </c>
      <c r="G21" s="138" t="s">
        <v>205</v>
      </c>
      <c r="H21" s="137">
        <v>0</v>
      </c>
      <c r="I21" s="138" t="s">
        <v>187</v>
      </c>
      <c r="J21" s="137">
        <v>0</v>
      </c>
      <c r="K21" s="138" t="s">
        <v>187</v>
      </c>
      <c r="L21" s="137">
        <v>0</v>
      </c>
      <c r="M21" s="138" t="s">
        <v>187</v>
      </c>
    </row>
    <row r="22" spans="1:13" ht="45" x14ac:dyDescent="0.25">
      <c r="A22" s="136" t="s">
        <v>26</v>
      </c>
      <c r="B22" s="136" t="s">
        <v>54</v>
      </c>
      <c r="C22" s="136" t="s">
        <v>86</v>
      </c>
      <c r="D22" s="136" t="s">
        <v>165</v>
      </c>
      <c r="E22" s="137">
        <v>40754.995933333332</v>
      </c>
      <c r="F22" s="137">
        <v>3396.249661111111</v>
      </c>
      <c r="G22" s="138" t="s">
        <v>204</v>
      </c>
      <c r="H22" s="137">
        <v>3396.249661111111</v>
      </c>
      <c r="I22" s="138" t="s">
        <v>204</v>
      </c>
      <c r="J22" s="137">
        <v>0</v>
      </c>
      <c r="K22" s="138" t="s">
        <v>187</v>
      </c>
      <c r="L22" s="137">
        <v>0</v>
      </c>
      <c r="M22" s="138" t="s">
        <v>187</v>
      </c>
    </row>
    <row r="23" spans="1:13" ht="45" x14ac:dyDescent="0.25">
      <c r="A23" s="136" t="s">
        <v>26</v>
      </c>
      <c r="B23" s="136" t="s">
        <v>54</v>
      </c>
      <c r="C23" s="136" t="s">
        <v>88</v>
      </c>
      <c r="D23" s="136" t="s">
        <v>164</v>
      </c>
      <c r="E23" s="137">
        <v>37721.30214</v>
      </c>
      <c r="F23" s="137">
        <v>13621.581328333334</v>
      </c>
      <c r="G23" s="138" t="s">
        <v>206</v>
      </c>
      <c r="H23" s="137">
        <v>12573.767379999999</v>
      </c>
      <c r="I23" s="138" t="s">
        <v>207</v>
      </c>
      <c r="J23" s="137">
        <v>9430.3255349999999</v>
      </c>
      <c r="K23" s="138" t="s">
        <v>208</v>
      </c>
      <c r="L23" s="137">
        <v>0</v>
      </c>
      <c r="M23" s="138" t="s">
        <v>187</v>
      </c>
    </row>
    <row r="24" spans="1:13" ht="45" x14ac:dyDescent="0.25">
      <c r="A24" s="136" t="s">
        <v>26</v>
      </c>
      <c r="B24" s="136" t="s">
        <v>54</v>
      </c>
      <c r="C24" s="136" t="s">
        <v>88</v>
      </c>
      <c r="D24" s="136" t="s">
        <v>165</v>
      </c>
      <c r="E24" s="137">
        <v>25147.534760000002</v>
      </c>
      <c r="F24" s="137">
        <v>0</v>
      </c>
      <c r="G24" s="138" t="s">
        <v>187</v>
      </c>
      <c r="H24" s="137">
        <v>0</v>
      </c>
      <c r="I24" s="138" t="s">
        <v>187</v>
      </c>
      <c r="J24" s="137">
        <v>0</v>
      </c>
      <c r="K24" s="138" t="s">
        <v>187</v>
      </c>
      <c r="L24" s="137">
        <v>0</v>
      </c>
      <c r="M24" s="138" t="s">
        <v>187</v>
      </c>
    </row>
    <row r="25" spans="1:13" ht="45" x14ac:dyDescent="0.25">
      <c r="A25" s="136" t="s">
        <v>26</v>
      </c>
      <c r="B25" s="136" t="s">
        <v>54</v>
      </c>
      <c r="C25" s="136" t="s">
        <v>91</v>
      </c>
      <c r="D25" s="136" t="s">
        <v>164</v>
      </c>
      <c r="E25" s="137">
        <v>51218.906666666669</v>
      </c>
      <c r="F25" s="137">
        <v>0</v>
      </c>
      <c r="G25" s="138" t="s">
        <v>187</v>
      </c>
      <c r="H25" s="137">
        <v>0</v>
      </c>
      <c r="I25" s="138" t="s">
        <v>187</v>
      </c>
      <c r="J25" s="137">
        <v>0</v>
      </c>
      <c r="K25" s="138" t="s">
        <v>187</v>
      </c>
      <c r="L25" s="137">
        <v>0</v>
      </c>
      <c r="M25" s="138" t="s">
        <v>187</v>
      </c>
    </row>
    <row r="26" spans="1:13" ht="45" x14ac:dyDescent="0.25">
      <c r="A26" s="136" t="s">
        <v>26</v>
      </c>
      <c r="B26" s="136" t="s">
        <v>54</v>
      </c>
      <c r="C26" s="136" t="s">
        <v>91</v>
      </c>
      <c r="D26" s="136" t="s">
        <v>165</v>
      </c>
      <c r="E26" s="137">
        <v>25609.453333333335</v>
      </c>
      <c r="F26" s="137">
        <v>0</v>
      </c>
      <c r="G26" s="138" t="s">
        <v>187</v>
      </c>
      <c r="H26" s="137">
        <v>0</v>
      </c>
      <c r="I26" s="138" t="s">
        <v>187</v>
      </c>
      <c r="J26" s="137">
        <v>0</v>
      </c>
      <c r="K26" s="138" t="s">
        <v>187</v>
      </c>
      <c r="L26" s="137">
        <v>0</v>
      </c>
      <c r="M26" s="138" t="s">
        <v>187</v>
      </c>
    </row>
    <row r="27" spans="1:13" x14ac:dyDescent="0.25">
      <c r="A27" s="136" t="s">
        <v>26</v>
      </c>
      <c r="B27" s="136" t="s">
        <v>27</v>
      </c>
      <c r="C27" s="136" t="s">
        <v>28</v>
      </c>
      <c r="D27" s="136" t="s">
        <v>30</v>
      </c>
      <c r="E27" s="137">
        <v>96552.957720588165</v>
      </c>
      <c r="F27" s="137">
        <v>96552.957720588165</v>
      </c>
      <c r="G27" s="138" t="s">
        <v>186</v>
      </c>
      <c r="H27" s="137">
        <v>96552.957720588165</v>
      </c>
      <c r="I27" s="138" t="s">
        <v>186</v>
      </c>
      <c r="J27" s="137">
        <v>96552.957720588165</v>
      </c>
      <c r="K27" s="138" t="s">
        <v>186</v>
      </c>
      <c r="L27" s="137">
        <v>96552.957720588165</v>
      </c>
      <c r="M27" s="138" t="s">
        <v>186</v>
      </c>
    </row>
    <row r="28" spans="1:13" ht="45" x14ac:dyDescent="0.25">
      <c r="A28" s="136" t="s">
        <v>26</v>
      </c>
      <c r="B28" s="136" t="s">
        <v>27</v>
      </c>
      <c r="C28" s="136" t="s">
        <v>96</v>
      </c>
      <c r="D28" s="136" t="s">
        <v>32</v>
      </c>
      <c r="E28" s="137">
        <v>7161.8114376280319</v>
      </c>
      <c r="F28" s="137">
        <v>7161.8114376280319</v>
      </c>
      <c r="G28" s="138" t="s">
        <v>186</v>
      </c>
      <c r="H28" s="137">
        <v>7161.8114376280319</v>
      </c>
      <c r="I28" s="138" t="s">
        <v>186</v>
      </c>
      <c r="J28" s="137">
        <v>7161.8114376280319</v>
      </c>
      <c r="K28" s="138" t="s">
        <v>186</v>
      </c>
      <c r="L28" s="137">
        <v>7161.8114376280319</v>
      </c>
      <c r="M28" s="138" t="s">
        <v>186</v>
      </c>
    </row>
    <row r="29" spans="1:13" x14ac:dyDescent="0.25">
      <c r="A29" s="136" t="s">
        <v>26</v>
      </c>
      <c r="B29" s="136" t="s">
        <v>27</v>
      </c>
      <c r="C29" s="136" t="s">
        <v>31</v>
      </c>
      <c r="D29" s="136" t="s">
        <v>33</v>
      </c>
      <c r="E29" s="137">
        <v>108361.32088237196</v>
      </c>
      <c r="F29" s="137">
        <v>108361.32088237196</v>
      </c>
      <c r="G29" s="138" t="s">
        <v>186</v>
      </c>
      <c r="H29" s="137">
        <v>108361.32088237196</v>
      </c>
      <c r="I29" s="138" t="s">
        <v>186</v>
      </c>
      <c r="J29" s="137">
        <v>108361.32088237196</v>
      </c>
      <c r="K29" s="138" t="s">
        <v>186</v>
      </c>
      <c r="L29" s="137">
        <v>108361.32088237196</v>
      </c>
      <c r="M29" s="138" t="s">
        <v>186</v>
      </c>
    </row>
    <row r="30" spans="1:13" ht="45" x14ac:dyDescent="0.25">
      <c r="A30" s="136" t="s">
        <v>26</v>
      </c>
      <c r="B30" s="136" t="s">
        <v>27</v>
      </c>
      <c r="C30" s="136" t="s">
        <v>97</v>
      </c>
      <c r="D30" s="136" t="s">
        <v>35</v>
      </c>
      <c r="E30" s="137">
        <v>28819.23</v>
      </c>
      <c r="F30" s="137">
        <v>28819.23</v>
      </c>
      <c r="G30" s="138" t="s">
        <v>186</v>
      </c>
      <c r="H30" s="137">
        <v>28819.23</v>
      </c>
      <c r="I30" s="138" t="s">
        <v>186</v>
      </c>
      <c r="J30" s="137">
        <v>28819.23</v>
      </c>
      <c r="K30" s="138" t="s">
        <v>186</v>
      </c>
      <c r="L30" s="137">
        <v>28819.23</v>
      </c>
      <c r="M30" s="138" t="s">
        <v>186</v>
      </c>
    </row>
    <row r="31" spans="1:13" x14ac:dyDescent="0.25">
      <c r="A31" s="136" t="s">
        <v>26</v>
      </c>
      <c r="B31" s="136" t="s">
        <v>27</v>
      </c>
      <c r="C31" s="136" t="s">
        <v>34</v>
      </c>
      <c r="D31" s="136" t="s">
        <v>36</v>
      </c>
      <c r="E31" s="137">
        <v>41918.879999999997</v>
      </c>
      <c r="F31" s="137">
        <v>41918.879999999997</v>
      </c>
      <c r="G31" s="138" t="s">
        <v>186</v>
      </c>
      <c r="H31" s="137">
        <v>41918.879999999997</v>
      </c>
      <c r="I31" s="138" t="s">
        <v>186</v>
      </c>
      <c r="J31" s="137">
        <v>41918.879999999997</v>
      </c>
      <c r="K31" s="138" t="s">
        <v>186</v>
      </c>
      <c r="L31" s="137">
        <v>41918.879999999997</v>
      </c>
      <c r="M31" s="138" t="s">
        <v>186</v>
      </c>
    </row>
    <row r="32" spans="1:13" ht="45" x14ac:dyDescent="0.25">
      <c r="A32" s="136" t="s">
        <v>26</v>
      </c>
      <c r="B32" s="136" t="s">
        <v>27</v>
      </c>
      <c r="C32" s="136" t="s">
        <v>154</v>
      </c>
      <c r="D32" s="136" t="s">
        <v>155</v>
      </c>
      <c r="E32" s="137">
        <v>69664.792279411718</v>
      </c>
      <c r="F32" s="137">
        <v>69664.792279411718</v>
      </c>
      <c r="G32" s="138" t="s">
        <v>186</v>
      </c>
      <c r="H32" s="137">
        <v>69664.792279411718</v>
      </c>
      <c r="I32" s="138" t="s">
        <v>186</v>
      </c>
      <c r="J32" s="137">
        <v>69664.792279411718</v>
      </c>
      <c r="K32" s="138" t="s">
        <v>186</v>
      </c>
      <c r="L32" s="137">
        <v>69664.792279411718</v>
      </c>
      <c r="M32" s="138" t="s">
        <v>186</v>
      </c>
    </row>
    <row r="33" spans="1:13" x14ac:dyDescent="0.25">
      <c r="A33" s="136" t="s">
        <v>26</v>
      </c>
      <c r="B33" s="136" t="s">
        <v>37</v>
      </c>
      <c r="C33" s="136" t="s">
        <v>38</v>
      </c>
      <c r="D33" s="136" t="s">
        <v>30</v>
      </c>
      <c r="E33" s="137">
        <v>202798.24999999991</v>
      </c>
      <c r="F33" s="137">
        <v>202798.24999999991</v>
      </c>
      <c r="G33" s="138" t="s">
        <v>186</v>
      </c>
      <c r="H33" s="137">
        <v>202798.24999999991</v>
      </c>
      <c r="I33" s="138" t="s">
        <v>186</v>
      </c>
      <c r="J33" s="137">
        <v>202798.24999999991</v>
      </c>
      <c r="K33" s="138" t="s">
        <v>186</v>
      </c>
      <c r="L33" s="137">
        <v>202798.24999999991</v>
      </c>
      <c r="M33" s="138" t="s">
        <v>186</v>
      </c>
    </row>
    <row r="34" spans="1:13" ht="45" x14ac:dyDescent="0.25">
      <c r="A34" s="136" t="s">
        <v>26</v>
      </c>
      <c r="B34" s="136" t="s">
        <v>37</v>
      </c>
      <c r="C34" s="136" t="s">
        <v>98</v>
      </c>
      <c r="D34" s="136" t="s">
        <v>40</v>
      </c>
      <c r="E34" s="137">
        <v>14225.697777777767</v>
      </c>
      <c r="F34" s="137">
        <v>14225.697777777767</v>
      </c>
      <c r="G34" s="138" t="s">
        <v>186</v>
      </c>
      <c r="H34" s="137">
        <v>14225.697777777767</v>
      </c>
      <c r="I34" s="138" t="s">
        <v>186</v>
      </c>
      <c r="J34" s="137">
        <v>14225.697777777767</v>
      </c>
      <c r="K34" s="138" t="s">
        <v>186</v>
      </c>
      <c r="L34" s="137">
        <v>14225.697777777767</v>
      </c>
      <c r="M34" s="138" t="s">
        <v>186</v>
      </c>
    </row>
    <row r="35" spans="1:13" x14ac:dyDescent="0.25">
      <c r="A35" s="136" t="s">
        <v>26</v>
      </c>
      <c r="B35" s="136" t="s">
        <v>37</v>
      </c>
      <c r="C35" s="136" t="s">
        <v>39</v>
      </c>
      <c r="D35" s="136" t="s">
        <v>41</v>
      </c>
      <c r="E35" s="137">
        <v>33786.032222222195</v>
      </c>
      <c r="F35" s="137">
        <v>33786.032222222195</v>
      </c>
      <c r="G35" s="138" t="s">
        <v>186</v>
      </c>
      <c r="H35" s="137">
        <v>33786.032222222195</v>
      </c>
      <c r="I35" s="138" t="s">
        <v>186</v>
      </c>
      <c r="J35" s="137">
        <v>33786.032222222195</v>
      </c>
      <c r="K35" s="138" t="s">
        <v>186</v>
      </c>
      <c r="L35" s="137">
        <v>33786.032222222195</v>
      </c>
      <c r="M35" s="138" t="s">
        <v>186</v>
      </c>
    </row>
    <row r="36" spans="1:13" x14ac:dyDescent="0.25">
      <c r="A36" s="136" t="s">
        <v>26</v>
      </c>
      <c r="B36" s="136" t="s">
        <v>48</v>
      </c>
      <c r="C36" s="136" t="s">
        <v>50</v>
      </c>
      <c r="D36" s="136" t="s">
        <v>30</v>
      </c>
      <c r="E36" s="137">
        <v>197930.57800000015</v>
      </c>
      <c r="F36" s="137">
        <v>197930.57800000015</v>
      </c>
      <c r="G36" s="138" t="s">
        <v>186</v>
      </c>
      <c r="H36" s="137">
        <v>197930.57800000015</v>
      </c>
      <c r="I36" s="138" t="s">
        <v>186</v>
      </c>
      <c r="J36" s="137">
        <v>197930.57800000015</v>
      </c>
      <c r="K36" s="138" t="s">
        <v>186</v>
      </c>
      <c r="L36" s="137">
        <v>197930.57800000015</v>
      </c>
      <c r="M36" s="138" t="s">
        <v>186</v>
      </c>
    </row>
    <row r="37" spans="1:13" ht="45" x14ac:dyDescent="0.25">
      <c r="A37" s="136" t="s">
        <v>26</v>
      </c>
      <c r="B37" s="136" t="s">
        <v>48</v>
      </c>
      <c r="C37" s="136" t="s">
        <v>99</v>
      </c>
      <c r="D37" s="136" t="s">
        <v>40</v>
      </c>
      <c r="E37" s="137">
        <v>48039.180472087894</v>
      </c>
      <c r="F37" s="137">
        <v>48039.180472087894</v>
      </c>
      <c r="G37" s="138" t="s">
        <v>186</v>
      </c>
      <c r="H37" s="137">
        <v>48039.180472087894</v>
      </c>
      <c r="I37" s="138" t="s">
        <v>186</v>
      </c>
      <c r="J37" s="137">
        <v>48039.180472087894</v>
      </c>
      <c r="K37" s="138" t="s">
        <v>186</v>
      </c>
      <c r="L37" s="137">
        <v>48039.180472087894</v>
      </c>
      <c r="M37" s="138" t="s">
        <v>186</v>
      </c>
    </row>
    <row r="38" spans="1:13" x14ac:dyDescent="0.25">
      <c r="A38" s="136" t="s">
        <v>26</v>
      </c>
      <c r="B38" s="136" t="s">
        <v>48</v>
      </c>
      <c r="C38" s="136" t="s">
        <v>49</v>
      </c>
      <c r="D38" s="136" t="s">
        <v>41</v>
      </c>
      <c r="E38" s="137">
        <v>113870.65000791205</v>
      </c>
      <c r="F38" s="137">
        <v>113870.65000791205</v>
      </c>
      <c r="G38" s="138" t="s">
        <v>186</v>
      </c>
      <c r="H38" s="137">
        <v>113870.65000791205</v>
      </c>
      <c r="I38" s="138" t="s">
        <v>186</v>
      </c>
      <c r="J38" s="137">
        <v>113870.65000791205</v>
      </c>
      <c r="K38" s="138" t="s">
        <v>186</v>
      </c>
      <c r="L38" s="137">
        <v>113870.65000791205</v>
      </c>
      <c r="M38" s="138" t="s">
        <v>186</v>
      </c>
    </row>
    <row r="39" spans="1:13" x14ac:dyDescent="0.25">
      <c r="A39" s="136" t="s">
        <v>26</v>
      </c>
      <c r="B39" s="136" t="s">
        <v>48</v>
      </c>
      <c r="C39" s="136" t="s">
        <v>53</v>
      </c>
      <c r="D39" s="136" t="s">
        <v>30</v>
      </c>
      <c r="E39" s="137">
        <v>38583.482900000025</v>
      </c>
      <c r="F39" s="137">
        <v>38583.482900000025</v>
      </c>
      <c r="G39" s="138" t="s">
        <v>186</v>
      </c>
      <c r="H39" s="137">
        <v>38583.482900000025</v>
      </c>
      <c r="I39" s="138" t="s">
        <v>186</v>
      </c>
      <c r="J39" s="137">
        <v>38583.482900000025</v>
      </c>
      <c r="K39" s="138" t="s">
        <v>186</v>
      </c>
      <c r="L39" s="137">
        <v>38583.482900000025</v>
      </c>
      <c r="M39" s="138" t="s">
        <v>186</v>
      </c>
    </row>
    <row r="40" spans="1:13" x14ac:dyDescent="0.25">
      <c r="A40" s="136" t="s">
        <v>26</v>
      </c>
      <c r="B40" s="136" t="s">
        <v>42</v>
      </c>
      <c r="C40" s="136" t="s">
        <v>43</v>
      </c>
      <c r="D40" s="136" t="s">
        <v>30</v>
      </c>
      <c r="E40" s="137">
        <v>117331.45999999999</v>
      </c>
      <c r="F40" s="137">
        <v>117331.45999999999</v>
      </c>
      <c r="G40" s="138" t="s">
        <v>186</v>
      </c>
      <c r="H40" s="137">
        <v>117331.45999999999</v>
      </c>
      <c r="I40" s="138" t="s">
        <v>186</v>
      </c>
      <c r="J40" s="137">
        <v>117331.45999999999</v>
      </c>
      <c r="K40" s="138" t="s">
        <v>186</v>
      </c>
      <c r="L40" s="137">
        <v>117331.45999999999</v>
      </c>
      <c r="M40" s="138" t="s">
        <v>186</v>
      </c>
    </row>
    <row r="41" spans="1:13" ht="45" x14ac:dyDescent="0.25">
      <c r="A41" s="136" t="s">
        <v>26</v>
      </c>
      <c r="B41" s="136" t="s">
        <v>42</v>
      </c>
      <c r="C41" s="136" t="s">
        <v>100</v>
      </c>
      <c r="D41" s="136" t="s">
        <v>40</v>
      </c>
      <c r="E41" s="137">
        <v>31371.858461538464</v>
      </c>
      <c r="F41" s="137">
        <v>31371.858461538464</v>
      </c>
      <c r="G41" s="138" t="s">
        <v>186</v>
      </c>
      <c r="H41" s="137">
        <v>31371.858461538464</v>
      </c>
      <c r="I41" s="138" t="s">
        <v>186</v>
      </c>
      <c r="J41" s="137">
        <v>31371.858461538464</v>
      </c>
      <c r="K41" s="138" t="s">
        <v>186</v>
      </c>
      <c r="L41" s="137">
        <v>31371.858461538464</v>
      </c>
      <c r="M41" s="138" t="s">
        <v>186</v>
      </c>
    </row>
    <row r="42" spans="1:13" x14ac:dyDescent="0.25">
      <c r="A42" s="136" t="s">
        <v>26</v>
      </c>
      <c r="B42" s="136" t="s">
        <v>42</v>
      </c>
      <c r="C42" s="136" t="s">
        <v>44</v>
      </c>
      <c r="D42" s="136" t="s">
        <v>41</v>
      </c>
      <c r="E42" s="137">
        <v>53593.591538461544</v>
      </c>
      <c r="F42" s="137">
        <v>53593.591538461544</v>
      </c>
      <c r="G42" s="138" t="s">
        <v>186</v>
      </c>
      <c r="H42" s="137">
        <v>53593.591538461544</v>
      </c>
      <c r="I42" s="138" t="s">
        <v>186</v>
      </c>
      <c r="J42" s="137">
        <v>53593.591538461544</v>
      </c>
      <c r="K42" s="138" t="s">
        <v>186</v>
      </c>
      <c r="L42" s="137">
        <v>53593.591538461544</v>
      </c>
      <c r="M42" s="138" t="s">
        <v>186</v>
      </c>
    </row>
    <row r="43" spans="1:13" ht="45" x14ac:dyDescent="0.25">
      <c r="A43" s="136" t="s">
        <v>26</v>
      </c>
      <c r="B43" s="136" t="s">
        <v>42</v>
      </c>
      <c r="C43" s="136" t="s">
        <v>156</v>
      </c>
      <c r="D43" s="136" t="s">
        <v>157</v>
      </c>
      <c r="E43" s="137">
        <v>18310.153273878263</v>
      </c>
      <c r="F43" s="137">
        <v>18310.153273878263</v>
      </c>
      <c r="G43" s="138" t="s">
        <v>186</v>
      </c>
      <c r="H43" s="137">
        <v>18310.153273878263</v>
      </c>
      <c r="I43" s="138" t="s">
        <v>186</v>
      </c>
      <c r="J43" s="137">
        <v>18310.153273878263</v>
      </c>
      <c r="K43" s="138" t="s">
        <v>186</v>
      </c>
      <c r="L43" s="137">
        <v>18310.153273878263</v>
      </c>
      <c r="M43" s="138" t="s">
        <v>186</v>
      </c>
    </row>
    <row r="44" spans="1:13" x14ac:dyDescent="0.25">
      <c r="A44" s="136" t="s">
        <v>26</v>
      </c>
      <c r="B44" s="136" t="s">
        <v>42</v>
      </c>
      <c r="C44" s="136" t="s">
        <v>45</v>
      </c>
      <c r="D44" s="136" t="s">
        <v>46</v>
      </c>
      <c r="E44" s="137">
        <v>26811.295865321739</v>
      </c>
      <c r="F44" s="137">
        <v>26811.295865321739</v>
      </c>
      <c r="G44" s="138" t="s">
        <v>186</v>
      </c>
      <c r="H44" s="137">
        <v>26811.295865321739</v>
      </c>
      <c r="I44" s="138" t="s">
        <v>186</v>
      </c>
      <c r="J44" s="137">
        <v>26811.295865321739</v>
      </c>
      <c r="K44" s="138" t="s">
        <v>186</v>
      </c>
      <c r="L44" s="137">
        <v>26811.295865321739</v>
      </c>
      <c r="M44" s="138" t="s">
        <v>186</v>
      </c>
    </row>
    <row r="45" spans="1:13" x14ac:dyDescent="0.25">
      <c r="A45" s="136" t="s">
        <v>26</v>
      </c>
      <c r="B45" s="136" t="s">
        <v>42</v>
      </c>
      <c r="C45" s="136" t="s">
        <v>92</v>
      </c>
      <c r="D45" s="136" t="s">
        <v>30</v>
      </c>
      <c r="E45" s="137">
        <v>19379.126958333338</v>
      </c>
      <c r="F45" s="137">
        <v>19379.126958333338</v>
      </c>
      <c r="G45" s="138" t="s">
        <v>186</v>
      </c>
      <c r="H45" s="137">
        <v>19379.126958333338</v>
      </c>
      <c r="I45" s="138" t="s">
        <v>186</v>
      </c>
      <c r="J45" s="137">
        <v>19379.126958333338</v>
      </c>
      <c r="K45" s="138" t="s">
        <v>186</v>
      </c>
      <c r="L45" s="137">
        <v>19379.126958333338</v>
      </c>
      <c r="M45" s="138" t="s">
        <v>186</v>
      </c>
    </row>
    <row r="46" spans="1:13" x14ac:dyDescent="0.25">
      <c r="A46" s="136" t="s">
        <v>26</v>
      </c>
      <c r="B46" s="136" t="s">
        <v>42</v>
      </c>
      <c r="C46" s="136" t="s">
        <v>158</v>
      </c>
      <c r="D46" s="136" t="s">
        <v>30</v>
      </c>
      <c r="E46" s="137">
        <v>3875.8253916666677</v>
      </c>
      <c r="F46" s="137">
        <v>3875.8253916666677</v>
      </c>
      <c r="G46" s="138" t="s">
        <v>186</v>
      </c>
      <c r="H46" s="137">
        <v>3875.8253916666677</v>
      </c>
      <c r="I46" s="138" t="s">
        <v>186</v>
      </c>
      <c r="J46" s="137">
        <v>3875.8253916666677</v>
      </c>
      <c r="K46" s="138" t="s">
        <v>186</v>
      </c>
      <c r="L46" s="137">
        <v>3875.8253916666677</v>
      </c>
      <c r="M46" s="138" t="s">
        <v>186</v>
      </c>
    </row>
    <row r="47" spans="1:13" x14ac:dyDescent="0.25">
      <c r="A47" s="136" t="s">
        <v>26</v>
      </c>
      <c r="B47" s="136" t="s">
        <v>47</v>
      </c>
      <c r="C47" s="136" t="s">
        <v>47</v>
      </c>
      <c r="D47" s="136" t="s">
        <v>30</v>
      </c>
      <c r="E47" s="137">
        <v>231366.75872000019</v>
      </c>
      <c r="F47" s="137">
        <v>231366.75872000019</v>
      </c>
      <c r="G47" s="138" t="s">
        <v>186</v>
      </c>
      <c r="H47" s="137">
        <v>231366.75872000019</v>
      </c>
      <c r="I47" s="138" t="s">
        <v>186</v>
      </c>
      <c r="J47" s="137">
        <v>231366.75872000019</v>
      </c>
      <c r="K47" s="138" t="s">
        <v>186</v>
      </c>
      <c r="L47" s="137">
        <v>231366.75872000019</v>
      </c>
      <c r="M47" s="138" t="s">
        <v>186</v>
      </c>
    </row>
    <row r="48" spans="1:13" ht="45" x14ac:dyDescent="0.25">
      <c r="A48" s="136" t="s">
        <v>26</v>
      </c>
      <c r="B48" s="136" t="s">
        <v>51</v>
      </c>
      <c r="C48" s="136" t="s">
        <v>73</v>
      </c>
      <c r="D48" s="136" t="s">
        <v>159</v>
      </c>
      <c r="E48" s="137">
        <v>48467.366153846124</v>
      </c>
      <c r="F48" s="137">
        <v>48467.366153846124</v>
      </c>
      <c r="G48" s="138" t="s">
        <v>186</v>
      </c>
      <c r="H48" s="137">
        <v>48467.366153846124</v>
      </c>
      <c r="I48" s="138" t="s">
        <v>186</v>
      </c>
      <c r="J48" s="137">
        <v>48467.366153846124</v>
      </c>
      <c r="K48" s="138" t="s">
        <v>186</v>
      </c>
      <c r="L48" s="137">
        <v>48467.366153846124</v>
      </c>
      <c r="M48" s="138" t="s">
        <v>186</v>
      </c>
    </row>
    <row r="49" spans="1:13" ht="45" x14ac:dyDescent="0.25">
      <c r="A49" s="136" t="s">
        <v>26</v>
      </c>
      <c r="B49" s="136" t="s">
        <v>51</v>
      </c>
      <c r="C49" s="136" t="s">
        <v>73</v>
      </c>
      <c r="D49" s="136" t="s">
        <v>160</v>
      </c>
      <c r="E49" s="137">
        <v>37063.279999999977</v>
      </c>
      <c r="F49" s="137">
        <v>25659.19384615383</v>
      </c>
      <c r="G49" s="138" t="s">
        <v>192</v>
      </c>
      <c r="H49" s="137">
        <v>25659.19384615383</v>
      </c>
      <c r="I49" s="138" t="s">
        <v>192</v>
      </c>
      <c r="J49" s="137">
        <v>22808.172307692294</v>
      </c>
      <c r="K49" s="138" t="s">
        <v>193</v>
      </c>
      <c r="L49" s="137">
        <v>0</v>
      </c>
      <c r="M49" s="138" t="s">
        <v>187</v>
      </c>
    </row>
    <row r="50" spans="1:13" ht="45" x14ac:dyDescent="0.25">
      <c r="A50" s="136" t="s">
        <v>26</v>
      </c>
      <c r="B50" s="136" t="s">
        <v>51</v>
      </c>
      <c r="C50" s="136" t="s">
        <v>73</v>
      </c>
      <c r="D50" s="136" t="s">
        <v>161</v>
      </c>
      <c r="E50" s="137">
        <v>25659.19384615383</v>
      </c>
      <c r="F50" s="137">
        <v>2851.0215384615367</v>
      </c>
      <c r="G50" s="138" t="s">
        <v>251</v>
      </c>
      <c r="H50" s="137">
        <v>2851.0215384615367</v>
      </c>
      <c r="I50" s="138" t="s">
        <v>251</v>
      </c>
      <c r="J50" s="137">
        <v>0</v>
      </c>
      <c r="K50" s="138" t="s">
        <v>187</v>
      </c>
      <c r="L50" s="137">
        <v>0</v>
      </c>
      <c r="M50" s="138" t="s">
        <v>187</v>
      </c>
    </row>
    <row r="51" spans="1:13" ht="45" x14ac:dyDescent="0.25">
      <c r="A51" s="136" t="s">
        <v>26</v>
      </c>
      <c r="B51" s="136" t="s">
        <v>51</v>
      </c>
      <c r="C51" s="136" t="s">
        <v>72</v>
      </c>
      <c r="D51" s="136" t="s">
        <v>159</v>
      </c>
      <c r="E51" s="137">
        <v>56297.169999999955</v>
      </c>
      <c r="F51" s="137">
        <v>56297.169999999955</v>
      </c>
      <c r="G51" s="138" t="s">
        <v>186</v>
      </c>
      <c r="H51" s="137">
        <v>56297.169999999955</v>
      </c>
      <c r="I51" s="138" t="s">
        <v>186</v>
      </c>
      <c r="J51" s="137">
        <v>56297.169999999955</v>
      </c>
      <c r="K51" s="138" t="s">
        <v>186</v>
      </c>
      <c r="L51" s="137">
        <v>56297.169999999955</v>
      </c>
      <c r="M51" s="138" t="s">
        <v>186</v>
      </c>
    </row>
    <row r="52" spans="1:13" ht="45" x14ac:dyDescent="0.25">
      <c r="A52" s="136" t="s">
        <v>26</v>
      </c>
      <c r="B52" s="136" t="s">
        <v>51</v>
      </c>
      <c r="C52" s="136" t="s">
        <v>72</v>
      </c>
      <c r="D52" s="136" t="s">
        <v>160</v>
      </c>
      <c r="E52" s="137">
        <v>56297.169999999955</v>
      </c>
      <c r="F52" s="137">
        <v>56297.169999999955</v>
      </c>
      <c r="G52" s="138" t="s">
        <v>186</v>
      </c>
      <c r="H52" s="137">
        <v>56297.169999999955</v>
      </c>
      <c r="I52" s="138" t="s">
        <v>186</v>
      </c>
      <c r="J52" s="137">
        <v>56297.169999999955</v>
      </c>
      <c r="K52" s="138" t="s">
        <v>186</v>
      </c>
      <c r="L52" s="137">
        <v>56297.169999999955</v>
      </c>
      <c r="M52" s="138" t="s">
        <v>186</v>
      </c>
    </row>
    <row r="53" spans="1:13" ht="45" x14ac:dyDescent="0.25">
      <c r="A53" s="136" t="s">
        <v>26</v>
      </c>
      <c r="B53" s="136" t="s">
        <v>51</v>
      </c>
      <c r="C53" s="136" t="s">
        <v>69</v>
      </c>
      <c r="D53" s="136" t="s">
        <v>159</v>
      </c>
      <c r="E53" s="137">
        <v>51802.619999999923</v>
      </c>
      <c r="F53" s="137">
        <v>51802.619999999923</v>
      </c>
      <c r="G53" s="138" t="s">
        <v>186</v>
      </c>
      <c r="H53" s="137">
        <v>51802.619999999923</v>
      </c>
      <c r="I53" s="138" t="s">
        <v>186</v>
      </c>
      <c r="J53" s="137">
        <v>51802.619999999923</v>
      </c>
      <c r="K53" s="138" t="s">
        <v>186</v>
      </c>
      <c r="L53" s="137">
        <v>51802.619999999923</v>
      </c>
      <c r="M53" s="138" t="s">
        <v>186</v>
      </c>
    </row>
    <row r="54" spans="1:13" ht="45" x14ac:dyDescent="0.25">
      <c r="A54" s="136" t="s">
        <v>26</v>
      </c>
      <c r="B54" s="136" t="s">
        <v>51</v>
      </c>
      <c r="C54" s="136" t="s">
        <v>69</v>
      </c>
      <c r="D54" s="136" t="s">
        <v>160</v>
      </c>
      <c r="E54" s="137">
        <v>51802.619999999923</v>
      </c>
      <c r="F54" s="137">
        <v>51802.619999999923</v>
      </c>
      <c r="G54" s="138" t="s">
        <v>186</v>
      </c>
      <c r="H54" s="137">
        <v>51802.619999999923</v>
      </c>
      <c r="I54" s="138" t="s">
        <v>186</v>
      </c>
      <c r="J54" s="137">
        <v>51802.619999999923</v>
      </c>
      <c r="K54" s="138" t="s">
        <v>186</v>
      </c>
      <c r="L54" s="137">
        <v>51802.619999999923</v>
      </c>
      <c r="M54" s="138" t="s">
        <v>186</v>
      </c>
    </row>
    <row r="55" spans="1:13" ht="45" x14ac:dyDescent="0.25">
      <c r="A55" s="136" t="s">
        <v>26</v>
      </c>
      <c r="B55" s="136" t="s">
        <v>51</v>
      </c>
      <c r="C55" s="136" t="s">
        <v>68</v>
      </c>
      <c r="D55" s="136" t="s">
        <v>159</v>
      </c>
      <c r="E55" s="137">
        <v>89929.743749999994</v>
      </c>
      <c r="F55" s="137">
        <v>89929.743749999994</v>
      </c>
      <c r="G55" s="138" t="s">
        <v>186</v>
      </c>
      <c r="H55" s="137">
        <v>89929.743749999994</v>
      </c>
      <c r="I55" s="138" t="s">
        <v>186</v>
      </c>
      <c r="J55" s="137">
        <v>89929.743749999994</v>
      </c>
      <c r="K55" s="138" t="s">
        <v>186</v>
      </c>
      <c r="L55" s="137">
        <v>89929.743749999994</v>
      </c>
      <c r="M55" s="138" t="s">
        <v>186</v>
      </c>
    </row>
    <row r="56" spans="1:13" ht="45" x14ac:dyDescent="0.25">
      <c r="A56" s="136" t="s">
        <v>26</v>
      </c>
      <c r="B56" s="136" t="s">
        <v>51</v>
      </c>
      <c r="C56" s="136" t="s">
        <v>68</v>
      </c>
      <c r="D56" s="136" t="s">
        <v>160</v>
      </c>
      <c r="E56" s="137">
        <v>5995.3162499999999</v>
      </c>
      <c r="F56" s="137">
        <v>5995.3162499999999</v>
      </c>
      <c r="G56" s="138" t="s">
        <v>186</v>
      </c>
      <c r="H56" s="137">
        <v>5995.3162499999999</v>
      </c>
      <c r="I56" s="138" t="s">
        <v>186</v>
      </c>
      <c r="J56" s="137">
        <v>5995.3162499999999</v>
      </c>
      <c r="K56" s="138" t="s">
        <v>186</v>
      </c>
      <c r="L56" s="137">
        <v>5995.3162499999999</v>
      </c>
      <c r="M56" s="138" t="s">
        <v>186</v>
      </c>
    </row>
    <row r="57" spans="1:13" ht="45" x14ac:dyDescent="0.25">
      <c r="A57" s="136" t="s">
        <v>26</v>
      </c>
      <c r="B57" s="136" t="s">
        <v>51</v>
      </c>
      <c r="C57" s="136" t="s">
        <v>60</v>
      </c>
      <c r="D57" s="136" t="s">
        <v>159</v>
      </c>
      <c r="E57" s="137">
        <v>84125.098536585356</v>
      </c>
      <c r="F57" s="137">
        <v>84125.098536585356</v>
      </c>
      <c r="G57" s="138" t="s">
        <v>186</v>
      </c>
      <c r="H57" s="137">
        <v>84125.098536585356</v>
      </c>
      <c r="I57" s="138" t="s">
        <v>186</v>
      </c>
      <c r="J57" s="137">
        <v>84125.098536585356</v>
      </c>
      <c r="K57" s="138" t="s">
        <v>186</v>
      </c>
      <c r="L57" s="137">
        <v>84125.098536585356</v>
      </c>
      <c r="M57" s="138" t="s">
        <v>186</v>
      </c>
    </row>
    <row r="58" spans="1:13" ht="45" x14ac:dyDescent="0.25">
      <c r="A58" s="136" t="s">
        <v>26</v>
      </c>
      <c r="B58" s="136" t="s">
        <v>51</v>
      </c>
      <c r="C58" s="136" t="s">
        <v>60</v>
      </c>
      <c r="D58" s="136" t="s">
        <v>160</v>
      </c>
      <c r="E58" s="137">
        <v>11684.041463414633</v>
      </c>
      <c r="F58" s="137">
        <v>11684.041463414633</v>
      </c>
      <c r="G58" s="138" t="s">
        <v>186</v>
      </c>
      <c r="H58" s="137">
        <v>11684.041463414633</v>
      </c>
      <c r="I58" s="138" t="s">
        <v>186</v>
      </c>
      <c r="J58" s="137">
        <v>11684.041463414633</v>
      </c>
      <c r="K58" s="138" t="s">
        <v>186</v>
      </c>
      <c r="L58" s="137">
        <v>11684.041463414633</v>
      </c>
      <c r="M58" s="138" t="s">
        <v>186</v>
      </c>
    </row>
    <row r="59" spans="1:13" ht="45" x14ac:dyDescent="0.25">
      <c r="A59" s="136" t="s">
        <v>26</v>
      </c>
      <c r="B59" s="136" t="s">
        <v>51</v>
      </c>
      <c r="C59" s="136" t="s">
        <v>57</v>
      </c>
      <c r="D59" s="136" t="s">
        <v>159</v>
      </c>
      <c r="E59" s="137">
        <v>92753.886822227039</v>
      </c>
      <c r="F59" s="137">
        <v>92753.886822227039</v>
      </c>
      <c r="G59" s="138" t="s">
        <v>186</v>
      </c>
      <c r="H59" s="137">
        <v>92753.886822227039</v>
      </c>
      <c r="I59" s="138" t="s">
        <v>186</v>
      </c>
      <c r="J59" s="137">
        <v>92753.886822227039</v>
      </c>
      <c r="K59" s="138" t="s">
        <v>186</v>
      </c>
      <c r="L59" s="137">
        <v>92753.886822227039</v>
      </c>
      <c r="M59" s="138" t="s">
        <v>186</v>
      </c>
    </row>
    <row r="60" spans="1:13" ht="45" x14ac:dyDescent="0.25">
      <c r="A60" s="136" t="s">
        <v>26</v>
      </c>
      <c r="B60" s="136" t="s">
        <v>51</v>
      </c>
      <c r="C60" s="136" t="s">
        <v>57</v>
      </c>
      <c r="D60" s="136" t="s">
        <v>160</v>
      </c>
      <c r="E60" s="137">
        <v>2576.4968561729734</v>
      </c>
      <c r="F60" s="137">
        <v>2576.4968561729734</v>
      </c>
      <c r="G60" s="138" t="s">
        <v>186</v>
      </c>
      <c r="H60" s="137">
        <v>2576.4968561729734</v>
      </c>
      <c r="I60" s="138" t="s">
        <v>186</v>
      </c>
      <c r="J60" s="137">
        <v>2576.4968561729734</v>
      </c>
      <c r="K60" s="138" t="s">
        <v>186</v>
      </c>
      <c r="L60" s="137">
        <v>2576.4968561729734</v>
      </c>
      <c r="M60" s="138" t="s">
        <v>186</v>
      </c>
    </row>
    <row r="61" spans="1:13" ht="45" x14ac:dyDescent="0.25">
      <c r="A61" s="136" t="s">
        <v>26</v>
      </c>
      <c r="B61" s="136" t="s">
        <v>51</v>
      </c>
      <c r="C61" s="136" t="s">
        <v>55</v>
      </c>
      <c r="D61" s="136" t="s">
        <v>159</v>
      </c>
      <c r="E61" s="137">
        <v>33687.787500000006</v>
      </c>
      <c r="F61" s="137">
        <v>33687.787500000006</v>
      </c>
      <c r="G61" s="138" t="s">
        <v>186</v>
      </c>
      <c r="H61" s="137">
        <v>33687.787500000006</v>
      </c>
      <c r="I61" s="138" t="s">
        <v>186</v>
      </c>
      <c r="J61" s="137">
        <v>33687.787500000006</v>
      </c>
      <c r="K61" s="138" t="s">
        <v>186</v>
      </c>
      <c r="L61" s="137">
        <v>33687.787500000006</v>
      </c>
      <c r="M61" s="138" t="s">
        <v>186</v>
      </c>
    </row>
    <row r="62" spans="1:13" ht="45" x14ac:dyDescent="0.25">
      <c r="A62" s="136" t="s">
        <v>26</v>
      </c>
      <c r="B62" s="136" t="s">
        <v>51</v>
      </c>
      <c r="C62" s="136" t="s">
        <v>55</v>
      </c>
      <c r="D62" s="136" t="s">
        <v>160</v>
      </c>
      <c r="E62" s="137">
        <v>1464.6864130434785</v>
      </c>
      <c r="F62" s="137">
        <v>1464.6864130434785</v>
      </c>
      <c r="G62" s="138" t="s">
        <v>186</v>
      </c>
      <c r="H62" s="137">
        <v>1464.6864130434785</v>
      </c>
      <c r="I62" s="138" t="s">
        <v>186</v>
      </c>
      <c r="J62" s="137">
        <v>1464.6864130434785</v>
      </c>
      <c r="K62" s="138" t="s">
        <v>186</v>
      </c>
      <c r="L62" s="137">
        <v>1464.6864130434785</v>
      </c>
      <c r="M62" s="138" t="s">
        <v>186</v>
      </c>
    </row>
    <row r="63" spans="1:13" ht="45" x14ac:dyDescent="0.25">
      <c r="A63" s="136" t="s">
        <v>26</v>
      </c>
      <c r="B63" s="136" t="s">
        <v>51</v>
      </c>
      <c r="C63" s="136" t="s">
        <v>55</v>
      </c>
      <c r="D63" s="136" t="s">
        <v>162</v>
      </c>
      <c r="E63" s="137">
        <v>99598.676086956533</v>
      </c>
      <c r="F63" s="137">
        <v>99598.676086956533</v>
      </c>
      <c r="G63" s="138" t="s">
        <v>186</v>
      </c>
      <c r="H63" s="137">
        <v>99598.676086956533</v>
      </c>
      <c r="I63" s="138" t="s">
        <v>186</v>
      </c>
      <c r="J63" s="137">
        <v>99598.676086956533</v>
      </c>
      <c r="K63" s="138" t="s">
        <v>186</v>
      </c>
      <c r="L63" s="137">
        <v>99598.676086956533</v>
      </c>
      <c r="M63" s="138" t="s">
        <v>186</v>
      </c>
    </row>
    <row r="64" spans="1:13" ht="45" x14ac:dyDescent="0.25">
      <c r="A64" s="136" t="s">
        <v>26</v>
      </c>
      <c r="B64" s="136" t="s">
        <v>51</v>
      </c>
      <c r="C64" s="136" t="s">
        <v>52</v>
      </c>
      <c r="D64" s="136" t="s">
        <v>159</v>
      </c>
      <c r="E64" s="137">
        <v>67096.790270270314</v>
      </c>
      <c r="F64" s="137">
        <v>67096.790270270314</v>
      </c>
      <c r="G64" s="138" t="s">
        <v>186</v>
      </c>
      <c r="H64" s="137">
        <v>67096.790270270314</v>
      </c>
      <c r="I64" s="138" t="s">
        <v>186</v>
      </c>
      <c r="J64" s="137">
        <v>67096.790270270314</v>
      </c>
      <c r="K64" s="138" t="s">
        <v>186</v>
      </c>
      <c r="L64" s="137">
        <v>67096.790270270314</v>
      </c>
      <c r="M64" s="138" t="s">
        <v>186</v>
      </c>
    </row>
    <row r="65" spans="1:13" ht="45" x14ac:dyDescent="0.25">
      <c r="A65" s="136" t="s">
        <v>26</v>
      </c>
      <c r="B65" s="136" t="s">
        <v>51</v>
      </c>
      <c r="C65" s="136" t="s">
        <v>52</v>
      </c>
      <c r="D65" s="136" t="s">
        <v>163</v>
      </c>
      <c r="E65" s="137">
        <v>1863.7997297297309</v>
      </c>
      <c r="F65" s="137">
        <v>1863.7997297297309</v>
      </c>
      <c r="G65" s="138" t="s">
        <v>186</v>
      </c>
      <c r="H65" s="137">
        <v>1863.7997297297309</v>
      </c>
      <c r="I65" s="138" t="s">
        <v>186</v>
      </c>
      <c r="J65" s="137">
        <v>1863.7997297297309</v>
      </c>
      <c r="K65" s="138" t="s">
        <v>186</v>
      </c>
      <c r="L65" s="137">
        <v>1863.7997297297309</v>
      </c>
      <c r="M65" s="138" t="s">
        <v>186</v>
      </c>
    </row>
    <row r="66" spans="1:13" ht="30" x14ac:dyDescent="0.25">
      <c r="A66" s="138" t="s">
        <v>114</v>
      </c>
      <c r="B66" s="138" t="s">
        <v>114</v>
      </c>
      <c r="C66" s="138" t="s">
        <v>114</v>
      </c>
      <c r="D66" s="138" t="s">
        <v>114</v>
      </c>
      <c r="E66" s="138" t="s">
        <v>235</v>
      </c>
      <c r="F66" s="138" t="s">
        <v>242</v>
      </c>
      <c r="G66" s="138" t="s">
        <v>114</v>
      </c>
      <c r="H66" s="138" t="s">
        <v>243</v>
      </c>
      <c r="I66" s="138" t="s">
        <v>114</v>
      </c>
      <c r="J66" s="138" t="s">
        <v>244</v>
      </c>
      <c r="K66" s="138" t="s">
        <v>114</v>
      </c>
      <c r="L66" s="138" t="s">
        <v>245</v>
      </c>
      <c r="M66" s="138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1835A-8D36-49DE-ADBD-B5F8AC908316}">
  <dimension ref="A1:M66"/>
  <sheetViews>
    <sheetView topLeftCell="A55" workbookViewId="0">
      <selection activeCell="A2" sqref="A2:M65"/>
    </sheetView>
  </sheetViews>
  <sheetFormatPr defaultRowHeight="15" x14ac:dyDescent="0.25"/>
  <sheetData>
    <row r="1" spans="1:13" x14ac:dyDescent="0.25">
      <c r="A1" s="127" t="s">
        <v>218</v>
      </c>
      <c r="B1" s="127" t="s">
        <v>231</v>
      </c>
      <c r="C1" s="127" t="s">
        <v>177</v>
      </c>
      <c r="D1" s="127" t="s">
        <v>178</v>
      </c>
      <c r="E1" s="127" t="s">
        <v>179</v>
      </c>
      <c r="F1" s="127" t="s">
        <v>106</v>
      </c>
      <c r="G1" s="127" t="s">
        <v>180</v>
      </c>
      <c r="H1" s="127" t="s">
        <v>108</v>
      </c>
      <c r="I1" s="127" t="s">
        <v>181</v>
      </c>
      <c r="J1" s="127" t="s">
        <v>182</v>
      </c>
      <c r="K1" s="127" t="s">
        <v>183</v>
      </c>
      <c r="L1" s="127" t="s">
        <v>223</v>
      </c>
      <c r="M1" s="127" t="s">
        <v>224</v>
      </c>
    </row>
    <row r="2" spans="1:13" x14ac:dyDescent="0.25">
      <c r="A2" s="128" t="s">
        <v>26</v>
      </c>
      <c r="B2" s="128" t="s">
        <v>54</v>
      </c>
      <c r="C2" s="128" t="s">
        <v>82</v>
      </c>
      <c r="D2" s="128" t="s">
        <v>83</v>
      </c>
      <c r="E2" s="129">
        <v>61548.353999999999</v>
      </c>
      <c r="F2" s="129">
        <v>0</v>
      </c>
      <c r="G2" s="130" t="s">
        <v>187</v>
      </c>
      <c r="H2" s="129">
        <v>0</v>
      </c>
      <c r="I2" s="130" t="s">
        <v>187</v>
      </c>
      <c r="J2" s="129">
        <v>0</v>
      </c>
      <c r="K2" s="130" t="s">
        <v>187</v>
      </c>
      <c r="L2" s="129">
        <v>0</v>
      </c>
      <c r="M2" s="130" t="s">
        <v>187</v>
      </c>
    </row>
    <row r="3" spans="1:13" x14ac:dyDescent="0.25">
      <c r="A3" s="128" t="s">
        <v>26</v>
      </c>
      <c r="B3" s="128" t="s">
        <v>54</v>
      </c>
      <c r="C3" s="128" t="s">
        <v>84</v>
      </c>
      <c r="D3" s="128" t="s">
        <v>83</v>
      </c>
      <c r="E3" s="129">
        <v>61548.354399999989</v>
      </c>
      <c r="F3" s="129">
        <v>0</v>
      </c>
      <c r="G3" s="130" t="s">
        <v>187</v>
      </c>
      <c r="H3" s="129">
        <v>0</v>
      </c>
      <c r="I3" s="130" t="s">
        <v>187</v>
      </c>
      <c r="J3" s="129">
        <v>0</v>
      </c>
      <c r="K3" s="130" t="s">
        <v>187</v>
      </c>
      <c r="L3" s="129">
        <v>0</v>
      </c>
      <c r="M3" s="130" t="s">
        <v>187</v>
      </c>
    </row>
    <row r="4" spans="1:13" x14ac:dyDescent="0.25">
      <c r="A4" s="128" t="s">
        <v>26</v>
      </c>
      <c r="B4" s="128" t="s">
        <v>54</v>
      </c>
      <c r="C4" s="128" t="s">
        <v>94</v>
      </c>
      <c r="D4" s="128" t="s">
        <v>101</v>
      </c>
      <c r="E4" s="129">
        <v>116529.73999999999</v>
      </c>
      <c r="F4" s="129">
        <v>67975.681666666671</v>
      </c>
      <c r="G4" s="130" t="s">
        <v>226</v>
      </c>
      <c r="H4" s="129">
        <v>48554.058333333334</v>
      </c>
      <c r="I4" s="130" t="s">
        <v>227</v>
      </c>
      <c r="J4" s="129">
        <v>14566.217499999999</v>
      </c>
      <c r="K4" s="130" t="s">
        <v>203</v>
      </c>
      <c r="L4" s="129">
        <v>0</v>
      </c>
      <c r="M4" s="130" t="s">
        <v>187</v>
      </c>
    </row>
    <row r="5" spans="1:13" ht="30" x14ac:dyDescent="0.25">
      <c r="A5" s="128" t="s">
        <v>26</v>
      </c>
      <c r="B5" s="128" t="s">
        <v>54</v>
      </c>
      <c r="C5" s="128" t="s">
        <v>79</v>
      </c>
      <c r="D5" s="128" t="s">
        <v>59</v>
      </c>
      <c r="E5" s="129">
        <v>66526.931673225015</v>
      </c>
      <c r="F5" s="129">
        <v>66526.931673225015</v>
      </c>
      <c r="G5" s="130" t="s">
        <v>186</v>
      </c>
      <c r="H5" s="129">
        <v>66526.931673225015</v>
      </c>
      <c r="I5" s="130" t="s">
        <v>186</v>
      </c>
      <c r="J5" s="129">
        <v>66526.931673225015</v>
      </c>
      <c r="K5" s="130" t="s">
        <v>186</v>
      </c>
      <c r="L5" s="129">
        <v>66526.931673225015</v>
      </c>
      <c r="M5" s="130" t="s">
        <v>186</v>
      </c>
    </row>
    <row r="6" spans="1:13" ht="30" x14ac:dyDescent="0.25">
      <c r="A6" s="128" t="s">
        <v>26</v>
      </c>
      <c r="B6" s="128" t="s">
        <v>54</v>
      </c>
      <c r="C6" s="128" t="s">
        <v>80</v>
      </c>
      <c r="D6" s="128" t="s">
        <v>59</v>
      </c>
      <c r="E6" s="129">
        <v>27322.570000000014</v>
      </c>
      <c r="F6" s="129">
        <v>27322.570000000014</v>
      </c>
      <c r="G6" s="130" t="s">
        <v>186</v>
      </c>
      <c r="H6" s="129">
        <v>27322.570000000014</v>
      </c>
      <c r="I6" s="130" t="s">
        <v>186</v>
      </c>
      <c r="J6" s="129">
        <v>27322.570000000014</v>
      </c>
      <c r="K6" s="130" t="s">
        <v>186</v>
      </c>
      <c r="L6" s="129">
        <v>27322.570000000014</v>
      </c>
      <c r="M6" s="130" t="s">
        <v>186</v>
      </c>
    </row>
    <row r="7" spans="1:13" ht="30" x14ac:dyDescent="0.25">
      <c r="A7" s="128" t="s">
        <v>26</v>
      </c>
      <c r="B7" s="128" t="s">
        <v>54</v>
      </c>
      <c r="C7" s="128" t="s">
        <v>89</v>
      </c>
      <c r="D7" s="128" t="s">
        <v>59</v>
      </c>
      <c r="E7" s="129">
        <v>7738.8999999999987</v>
      </c>
      <c r="F7" s="129">
        <v>7738.8999999999987</v>
      </c>
      <c r="G7" s="130" t="s">
        <v>186</v>
      </c>
      <c r="H7" s="129">
        <v>7738.8999999999987</v>
      </c>
      <c r="I7" s="130" t="s">
        <v>186</v>
      </c>
      <c r="J7" s="129">
        <v>7738.8999999999987</v>
      </c>
      <c r="K7" s="130" t="s">
        <v>186</v>
      </c>
      <c r="L7" s="129">
        <v>7738.8999999999987</v>
      </c>
      <c r="M7" s="130" t="s">
        <v>186</v>
      </c>
    </row>
    <row r="8" spans="1:13" ht="30" x14ac:dyDescent="0.25">
      <c r="A8" s="128" t="s">
        <v>26</v>
      </c>
      <c r="B8" s="128" t="s">
        <v>54</v>
      </c>
      <c r="C8" s="128" t="s">
        <v>90</v>
      </c>
      <c r="D8" s="128" t="s">
        <v>59</v>
      </c>
      <c r="E8" s="129">
        <v>12606.7</v>
      </c>
      <c r="F8" s="129">
        <v>12606.7</v>
      </c>
      <c r="G8" s="130" t="s">
        <v>186</v>
      </c>
      <c r="H8" s="129">
        <v>12606.7</v>
      </c>
      <c r="I8" s="130" t="s">
        <v>186</v>
      </c>
      <c r="J8" s="129">
        <v>12606.7</v>
      </c>
      <c r="K8" s="130" t="s">
        <v>186</v>
      </c>
      <c r="L8" s="129">
        <v>12606.7</v>
      </c>
      <c r="M8" s="130" t="s">
        <v>186</v>
      </c>
    </row>
    <row r="9" spans="1:13" ht="30" x14ac:dyDescent="0.25">
      <c r="A9" s="128" t="s">
        <v>26</v>
      </c>
      <c r="B9" s="128" t="s">
        <v>54</v>
      </c>
      <c r="C9" s="128" t="s">
        <v>87</v>
      </c>
      <c r="D9" s="128" t="s">
        <v>59</v>
      </c>
      <c r="E9" s="129">
        <v>11821.399999999996</v>
      </c>
      <c r="F9" s="129">
        <v>11821.399999999996</v>
      </c>
      <c r="G9" s="130" t="s">
        <v>186</v>
      </c>
      <c r="H9" s="129">
        <v>11821.399999999996</v>
      </c>
      <c r="I9" s="130" t="s">
        <v>186</v>
      </c>
      <c r="J9" s="129">
        <v>11821.399999999996</v>
      </c>
      <c r="K9" s="130" t="s">
        <v>186</v>
      </c>
      <c r="L9" s="129">
        <v>11821.399999999996</v>
      </c>
      <c r="M9" s="130" t="s">
        <v>186</v>
      </c>
    </row>
    <row r="10" spans="1:13" ht="30" x14ac:dyDescent="0.25">
      <c r="A10" s="128" t="s">
        <v>26</v>
      </c>
      <c r="B10" s="128" t="s">
        <v>54</v>
      </c>
      <c r="C10" s="128" t="s">
        <v>93</v>
      </c>
      <c r="D10" s="128" t="s">
        <v>59</v>
      </c>
      <c r="E10" s="129">
        <v>13649.199999999999</v>
      </c>
      <c r="F10" s="129">
        <v>13649.199999999999</v>
      </c>
      <c r="G10" s="130" t="s">
        <v>186</v>
      </c>
      <c r="H10" s="129">
        <v>13649.199999999999</v>
      </c>
      <c r="I10" s="130" t="s">
        <v>186</v>
      </c>
      <c r="J10" s="129">
        <v>13649.199999999999</v>
      </c>
      <c r="K10" s="130" t="s">
        <v>186</v>
      </c>
      <c r="L10" s="129">
        <v>13649.199999999999</v>
      </c>
      <c r="M10" s="130" t="s">
        <v>186</v>
      </c>
    </row>
    <row r="11" spans="1:13" ht="30" x14ac:dyDescent="0.25">
      <c r="A11" s="128" t="s">
        <v>26</v>
      </c>
      <c r="B11" s="128" t="s">
        <v>54</v>
      </c>
      <c r="C11" s="128" t="s">
        <v>58</v>
      </c>
      <c r="D11" s="128" t="s">
        <v>59</v>
      </c>
      <c r="E11" s="129">
        <v>18010.695291250006</v>
      </c>
      <c r="F11" s="129">
        <v>18010.695291250006</v>
      </c>
      <c r="G11" s="130" t="s">
        <v>186</v>
      </c>
      <c r="H11" s="129">
        <v>18010.695291250006</v>
      </c>
      <c r="I11" s="130" t="s">
        <v>186</v>
      </c>
      <c r="J11" s="129">
        <v>18010.695291250006</v>
      </c>
      <c r="K11" s="130" t="s">
        <v>186</v>
      </c>
      <c r="L11" s="129">
        <v>18010.695291250006</v>
      </c>
      <c r="M11" s="130" t="s">
        <v>186</v>
      </c>
    </row>
    <row r="12" spans="1:13" ht="30" x14ac:dyDescent="0.25">
      <c r="A12" s="128" t="s">
        <v>26</v>
      </c>
      <c r="B12" s="128" t="s">
        <v>54</v>
      </c>
      <c r="C12" s="128" t="s">
        <v>77</v>
      </c>
      <c r="D12" s="128" t="s">
        <v>59</v>
      </c>
      <c r="E12" s="129">
        <v>14499.954724850006</v>
      </c>
      <c r="F12" s="129">
        <v>14499.954724850006</v>
      </c>
      <c r="G12" s="130" t="s">
        <v>186</v>
      </c>
      <c r="H12" s="129">
        <v>14499.954724850006</v>
      </c>
      <c r="I12" s="130" t="s">
        <v>186</v>
      </c>
      <c r="J12" s="129">
        <v>14499.954724850006</v>
      </c>
      <c r="K12" s="130" t="s">
        <v>186</v>
      </c>
      <c r="L12" s="129">
        <v>14499.954724850006</v>
      </c>
      <c r="M12" s="130" t="s">
        <v>186</v>
      </c>
    </row>
    <row r="13" spans="1:13" ht="45" x14ac:dyDescent="0.25">
      <c r="A13" s="128" t="s">
        <v>26</v>
      </c>
      <c r="B13" s="128" t="s">
        <v>54</v>
      </c>
      <c r="C13" s="128" t="s">
        <v>62</v>
      </c>
      <c r="D13" s="128" t="s">
        <v>164</v>
      </c>
      <c r="E13" s="129">
        <v>83412.565384615358</v>
      </c>
      <c r="F13" s="129">
        <v>75468.51153846152</v>
      </c>
      <c r="G13" s="130" t="s">
        <v>194</v>
      </c>
      <c r="H13" s="129">
        <v>49650.336538461524</v>
      </c>
      <c r="I13" s="130" t="s">
        <v>232</v>
      </c>
      <c r="J13" s="129">
        <v>45678.309615384605</v>
      </c>
      <c r="K13" s="130" t="s">
        <v>240</v>
      </c>
      <c r="L13" s="129">
        <v>0</v>
      </c>
      <c r="M13" s="130" t="s">
        <v>187</v>
      </c>
    </row>
    <row r="14" spans="1:13" ht="45" x14ac:dyDescent="0.25">
      <c r="A14" s="128" t="s">
        <v>26</v>
      </c>
      <c r="B14" s="128" t="s">
        <v>54</v>
      </c>
      <c r="C14" s="128" t="s">
        <v>62</v>
      </c>
      <c r="D14" s="128" t="s">
        <v>165</v>
      </c>
      <c r="E14" s="129">
        <v>19860.13461538461</v>
      </c>
      <c r="F14" s="129">
        <v>7944.0538461538445</v>
      </c>
      <c r="G14" s="130" t="s">
        <v>197</v>
      </c>
      <c r="H14" s="129">
        <v>1986.0134615384611</v>
      </c>
      <c r="I14" s="130" t="s">
        <v>234</v>
      </c>
      <c r="J14" s="129">
        <v>0</v>
      </c>
      <c r="K14" s="130" t="s">
        <v>187</v>
      </c>
      <c r="L14" s="129">
        <v>0</v>
      </c>
      <c r="M14" s="130" t="s">
        <v>187</v>
      </c>
    </row>
    <row r="15" spans="1:13" ht="45" x14ac:dyDescent="0.25">
      <c r="A15" s="128" t="s">
        <v>26</v>
      </c>
      <c r="B15" s="128" t="s">
        <v>54</v>
      </c>
      <c r="C15" s="128" t="s">
        <v>64</v>
      </c>
      <c r="D15" s="128" t="s">
        <v>164</v>
      </c>
      <c r="E15" s="129">
        <v>53557.390769230769</v>
      </c>
      <c r="F15" s="129">
        <v>53557.390769230769</v>
      </c>
      <c r="G15" s="130" t="s">
        <v>186</v>
      </c>
      <c r="H15" s="129">
        <v>53557.390769230769</v>
      </c>
      <c r="I15" s="130" t="s">
        <v>186</v>
      </c>
      <c r="J15" s="129">
        <v>53557.390769230769</v>
      </c>
      <c r="K15" s="130" t="s">
        <v>186</v>
      </c>
      <c r="L15" s="129">
        <v>53557.390769230769</v>
      </c>
      <c r="M15" s="130" t="s">
        <v>186</v>
      </c>
    </row>
    <row r="16" spans="1:13" ht="45" x14ac:dyDescent="0.25">
      <c r="A16" s="128" t="s">
        <v>26</v>
      </c>
      <c r="B16" s="128" t="s">
        <v>54</v>
      </c>
      <c r="C16" s="128" t="s">
        <v>64</v>
      </c>
      <c r="D16" s="128" t="s">
        <v>165</v>
      </c>
      <c r="E16" s="129">
        <v>33473.369230769233</v>
      </c>
      <c r="F16" s="129">
        <v>33473.369230769233</v>
      </c>
      <c r="G16" s="130" t="s">
        <v>186</v>
      </c>
      <c r="H16" s="129">
        <v>33473.369230769233</v>
      </c>
      <c r="I16" s="130" t="s">
        <v>186</v>
      </c>
      <c r="J16" s="129">
        <v>33473.369230769233</v>
      </c>
      <c r="K16" s="130" t="s">
        <v>186</v>
      </c>
      <c r="L16" s="129">
        <v>33473.369230769233</v>
      </c>
      <c r="M16" s="130" t="s">
        <v>186</v>
      </c>
    </row>
    <row r="17" spans="1:13" ht="45" x14ac:dyDescent="0.25">
      <c r="A17" s="128" t="s">
        <v>26</v>
      </c>
      <c r="B17" s="128" t="s">
        <v>54</v>
      </c>
      <c r="C17" s="128" t="s">
        <v>71</v>
      </c>
      <c r="D17" s="128" t="s">
        <v>164</v>
      </c>
      <c r="E17" s="129">
        <v>82046.400000000009</v>
      </c>
      <c r="F17" s="129">
        <v>82046.400000000009</v>
      </c>
      <c r="G17" s="130" t="s">
        <v>186</v>
      </c>
      <c r="H17" s="129">
        <v>82046.400000000009</v>
      </c>
      <c r="I17" s="130" t="s">
        <v>186</v>
      </c>
      <c r="J17" s="129">
        <v>82046.400000000009</v>
      </c>
      <c r="K17" s="130" t="s">
        <v>186</v>
      </c>
      <c r="L17" s="129">
        <v>82046.400000000009</v>
      </c>
      <c r="M17" s="130" t="s">
        <v>186</v>
      </c>
    </row>
    <row r="18" spans="1:13" ht="45" x14ac:dyDescent="0.25">
      <c r="A18" s="128" t="s">
        <v>26</v>
      </c>
      <c r="B18" s="128" t="s">
        <v>54</v>
      </c>
      <c r="C18" s="128" t="s">
        <v>75</v>
      </c>
      <c r="D18" s="128" t="s">
        <v>164</v>
      </c>
      <c r="E18" s="129">
        <v>80497.16</v>
      </c>
      <c r="F18" s="129">
        <v>80497.16</v>
      </c>
      <c r="G18" s="130" t="s">
        <v>186</v>
      </c>
      <c r="H18" s="129">
        <v>80497.16</v>
      </c>
      <c r="I18" s="130" t="s">
        <v>186</v>
      </c>
      <c r="J18" s="129">
        <v>80497.16</v>
      </c>
      <c r="K18" s="130" t="s">
        <v>186</v>
      </c>
      <c r="L18" s="129">
        <v>80497.16</v>
      </c>
      <c r="M18" s="130" t="s">
        <v>186</v>
      </c>
    </row>
    <row r="19" spans="1:13" ht="45" x14ac:dyDescent="0.25">
      <c r="A19" s="128" t="s">
        <v>26</v>
      </c>
      <c r="B19" s="128" t="s">
        <v>54</v>
      </c>
      <c r="C19" s="128" t="s">
        <v>81</v>
      </c>
      <c r="D19" s="128" t="s">
        <v>165</v>
      </c>
      <c r="E19" s="129">
        <v>89010.219999999987</v>
      </c>
      <c r="F19" s="129">
        <v>89010.219999999987</v>
      </c>
      <c r="G19" s="130" t="s">
        <v>186</v>
      </c>
      <c r="H19" s="129">
        <v>89010.219999999987</v>
      </c>
      <c r="I19" s="130" t="s">
        <v>186</v>
      </c>
      <c r="J19" s="129">
        <v>89010.219999999987</v>
      </c>
      <c r="K19" s="130" t="s">
        <v>186</v>
      </c>
      <c r="L19" s="129">
        <v>89010.219999999987</v>
      </c>
      <c r="M19" s="130" t="s">
        <v>186</v>
      </c>
    </row>
    <row r="20" spans="1:13" ht="45" x14ac:dyDescent="0.25">
      <c r="A20" s="128" t="s">
        <v>26</v>
      </c>
      <c r="B20" s="128" t="s">
        <v>54</v>
      </c>
      <c r="C20" s="128" t="s">
        <v>85</v>
      </c>
      <c r="D20" s="128" t="s">
        <v>165</v>
      </c>
      <c r="E20" s="129">
        <v>88239.10000000002</v>
      </c>
      <c r="F20" s="129">
        <v>88239.10000000002</v>
      </c>
      <c r="G20" s="130" t="s">
        <v>186</v>
      </c>
      <c r="H20" s="129">
        <v>88239.10000000002</v>
      </c>
      <c r="I20" s="130" t="s">
        <v>186</v>
      </c>
      <c r="J20" s="129">
        <v>88239.10000000002</v>
      </c>
      <c r="K20" s="130" t="s">
        <v>186</v>
      </c>
      <c r="L20" s="129">
        <v>88239.10000000002</v>
      </c>
      <c r="M20" s="130" t="s">
        <v>186</v>
      </c>
    </row>
    <row r="21" spans="1:13" ht="45" x14ac:dyDescent="0.25">
      <c r="A21" s="128" t="s">
        <v>26</v>
      </c>
      <c r="B21" s="128" t="s">
        <v>54</v>
      </c>
      <c r="C21" s="128" t="s">
        <v>86</v>
      </c>
      <c r="D21" s="128" t="s">
        <v>164</v>
      </c>
      <c r="E21" s="129">
        <v>20377.497966666666</v>
      </c>
      <c r="F21" s="129">
        <v>3396.249661111111</v>
      </c>
      <c r="G21" s="130" t="s">
        <v>205</v>
      </c>
      <c r="H21" s="129">
        <v>0</v>
      </c>
      <c r="I21" s="130" t="s">
        <v>187</v>
      </c>
      <c r="J21" s="129">
        <v>0</v>
      </c>
      <c r="K21" s="130" t="s">
        <v>187</v>
      </c>
      <c r="L21" s="129">
        <v>0</v>
      </c>
      <c r="M21" s="130" t="s">
        <v>187</v>
      </c>
    </row>
    <row r="22" spans="1:13" ht="45" x14ac:dyDescent="0.25">
      <c r="A22" s="128" t="s">
        <v>26</v>
      </c>
      <c r="B22" s="128" t="s">
        <v>54</v>
      </c>
      <c r="C22" s="128" t="s">
        <v>86</v>
      </c>
      <c r="D22" s="128" t="s">
        <v>165</v>
      </c>
      <c r="E22" s="129">
        <v>40754.995933333332</v>
      </c>
      <c r="F22" s="129">
        <v>3396.249661111111</v>
      </c>
      <c r="G22" s="130" t="s">
        <v>204</v>
      </c>
      <c r="H22" s="129">
        <v>3396.249661111111</v>
      </c>
      <c r="I22" s="130" t="s">
        <v>204</v>
      </c>
      <c r="J22" s="129">
        <v>0</v>
      </c>
      <c r="K22" s="130" t="s">
        <v>187</v>
      </c>
      <c r="L22" s="129">
        <v>0</v>
      </c>
      <c r="M22" s="130" t="s">
        <v>187</v>
      </c>
    </row>
    <row r="23" spans="1:13" ht="45" x14ac:dyDescent="0.25">
      <c r="A23" s="128" t="s">
        <v>26</v>
      </c>
      <c r="B23" s="128" t="s">
        <v>54</v>
      </c>
      <c r="C23" s="128" t="s">
        <v>88</v>
      </c>
      <c r="D23" s="128" t="s">
        <v>164</v>
      </c>
      <c r="E23" s="129">
        <v>37721.30214</v>
      </c>
      <c r="F23" s="129">
        <v>13621.581328333334</v>
      </c>
      <c r="G23" s="130" t="s">
        <v>206</v>
      </c>
      <c r="H23" s="129">
        <v>12573.767379999999</v>
      </c>
      <c r="I23" s="130" t="s">
        <v>207</v>
      </c>
      <c r="J23" s="129">
        <v>9430.3255349999999</v>
      </c>
      <c r="K23" s="130" t="s">
        <v>208</v>
      </c>
      <c r="L23" s="129">
        <v>0</v>
      </c>
      <c r="M23" s="130" t="s">
        <v>187</v>
      </c>
    </row>
    <row r="24" spans="1:13" ht="45" x14ac:dyDescent="0.25">
      <c r="A24" s="128" t="s">
        <v>26</v>
      </c>
      <c r="B24" s="128" t="s">
        <v>54</v>
      </c>
      <c r="C24" s="128" t="s">
        <v>88</v>
      </c>
      <c r="D24" s="128" t="s">
        <v>165</v>
      </c>
      <c r="E24" s="129">
        <v>25147.534760000002</v>
      </c>
      <c r="F24" s="129">
        <v>0</v>
      </c>
      <c r="G24" s="130" t="s">
        <v>187</v>
      </c>
      <c r="H24" s="129">
        <v>0</v>
      </c>
      <c r="I24" s="130" t="s">
        <v>187</v>
      </c>
      <c r="J24" s="129">
        <v>0</v>
      </c>
      <c r="K24" s="130" t="s">
        <v>187</v>
      </c>
      <c r="L24" s="129">
        <v>0</v>
      </c>
      <c r="M24" s="130" t="s">
        <v>187</v>
      </c>
    </row>
    <row r="25" spans="1:13" ht="45" x14ac:dyDescent="0.25">
      <c r="A25" s="128" t="s">
        <v>26</v>
      </c>
      <c r="B25" s="128" t="s">
        <v>54</v>
      </c>
      <c r="C25" s="128" t="s">
        <v>91</v>
      </c>
      <c r="D25" s="128" t="s">
        <v>164</v>
      </c>
      <c r="E25" s="129">
        <v>51218.906666666669</v>
      </c>
      <c r="F25" s="129">
        <v>0</v>
      </c>
      <c r="G25" s="130" t="s">
        <v>187</v>
      </c>
      <c r="H25" s="129">
        <v>0</v>
      </c>
      <c r="I25" s="130" t="s">
        <v>187</v>
      </c>
      <c r="J25" s="129">
        <v>0</v>
      </c>
      <c r="K25" s="130" t="s">
        <v>187</v>
      </c>
      <c r="L25" s="129">
        <v>0</v>
      </c>
      <c r="M25" s="130" t="s">
        <v>187</v>
      </c>
    </row>
    <row r="26" spans="1:13" ht="45" x14ac:dyDescent="0.25">
      <c r="A26" s="128" t="s">
        <v>26</v>
      </c>
      <c r="B26" s="128" t="s">
        <v>54</v>
      </c>
      <c r="C26" s="128" t="s">
        <v>91</v>
      </c>
      <c r="D26" s="128" t="s">
        <v>165</v>
      </c>
      <c r="E26" s="129">
        <v>25609.453333333335</v>
      </c>
      <c r="F26" s="129">
        <v>0</v>
      </c>
      <c r="G26" s="130" t="s">
        <v>187</v>
      </c>
      <c r="H26" s="129">
        <v>0</v>
      </c>
      <c r="I26" s="130" t="s">
        <v>187</v>
      </c>
      <c r="J26" s="129">
        <v>0</v>
      </c>
      <c r="K26" s="130" t="s">
        <v>187</v>
      </c>
      <c r="L26" s="129">
        <v>0</v>
      </c>
      <c r="M26" s="130" t="s">
        <v>187</v>
      </c>
    </row>
    <row r="27" spans="1:13" x14ac:dyDescent="0.25">
      <c r="A27" s="128" t="s">
        <v>26</v>
      </c>
      <c r="B27" s="128" t="s">
        <v>27</v>
      </c>
      <c r="C27" s="128" t="s">
        <v>28</v>
      </c>
      <c r="D27" s="128" t="s">
        <v>30</v>
      </c>
      <c r="E27" s="129">
        <v>96552.957720588165</v>
      </c>
      <c r="F27" s="129">
        <v>96552.957720588165</v>
      </c>
      <c r="G27" s="130" t="s">
        <v>186</v>
      </c>
      <c r="H27" s="129">
        <v>96552.957720588165</v>
      </c>
      <c r="I27" s="130" t="s">
        <v>186</v>
      </c>
      <c r="J27" s="129">
        <v>96552.957720588165</v>
      </c>
      <c r="K27" s="130" t="s">
        <v>186</v>
      </c>
      <c r="L27" s="129">
        <v>96552.957720588165</v>
      </c>
      <c r="M27" s="130" t="s">
        <v>186</v>
      </c>
    </row>
    <row r="28" spans="1:13" ht="45" x14ac:dyDescent="0.25">
      <c r="A28" s="128" t="s">
        <v>26</v>
      </c>
      <c r="B28" s="128" t="s">
        <v>27</v>
      </c>
      <c r="C28" s="128" t="s">
        <v>96</v>
      </c>
      <c r="D28" s="128" t="s">
        <v>32</v>
      </c>
      <c r="E28" s="129">
        <v>7161.8114376280319</v>
      </c>
      <c r="F28" s="129">
        <v>7161.8114376280319</v>
      </c>
      <c r="G28" s="130" t="s">
        <v>186</v>
      </c>
      <c r="H28" s="129">
        <v>7161.8114376280319</v>
      </c>
      <c r="I28" s="130" t="s">
        <v>186</v>
      </c>
      <c r="J28" s="129">
        <v>7161.8114376280319</v>
      </c>
      <c r="K28" s="130" t="s">
        <v>186</v>
      </c>
      <c r="L28" s="129">
        <v>7161.8114376280319</v>
      </c>
      <c r="M28" s="130" t="s">
        <v>186</v>
      </c>
    </row>
    <row r="29" spans="1:13" x14ac:dyDescent="0.25">
      <c r="A29" s="128" t="s">
        <v>26</v>
      </c>
      <c r="B29" s="128" t="s">
        <v>27</v>
      </c>
      <c r="C29" s="128" t="s">
        <v>31</v>
      </c>
      <c r="D29" s="128" t="s">
        <v>33</v>
      </c>
      <c r="E29" s="129">
        <v>108361.32088237196</v>
      </c>
      <c r="F29" s="129">
        <v>108361.32088237196</v>
      </c>
      <c r="G29" s="130" t="s">
        <v>186</v>
      </c>
      <c r="H29" s="129">
        <v>108361.32088237196</v>
      </c>
      <c r="I29" s="130" t="s">
        <v>186</v>
      </c>
      <c r="J29" s="129">
        <v>108361.32088237196</v>
      </c>
      <c r="K29" s="130" t="s">
        <v>186</v>
      </c>
      <c r="L29" s="129">
        <v>108361.32088237196</v>
      </c>
      <c r="M29" s="130" t="s">
        <v>186</v>
      </c>
    </row>
    <row r="30" spans="1:13" ht="45" x14ac:dyDescent="0.25">
      <c r="A30" s="128" t="s">
        <v>26</v>
      </c>
      <c r="B30" s="128" t="s">
        <v>27</v>
      </c>
      <c r="C30" s="128" t="s">
        <v>97</v>
      </c>
      <c r="D30" s="128" t="s">
        <v>35</v>
      </c>
      <c r="E30" s="129">
        <v>28819.23</v>
      </c>
      <c r="F30" s="129">
        <v>28819.23</v>
      </c>
      <c r="G30" s="130" t="s">
        <v>186</v>
      </c>
      <c r="H30" s="129">
        <v>28819.23</v>
      </c>
      <c r="I30" s="130" t="s">
        <v>186</v>
      </c>
      <c r="J30" s="129">
        <v>28819.23</v>
      </c>
      <c r="K30" s="130" t="s">
        <v>186</v>
      </c>
      <c r="L30" s="129">
        <v>28819.23</v>
      </c>
      <c r="M30" s="130" t="s">
        <v>186</v>
      </c>
    </row>
    <row r="31" spans="1:13" x14ac:dyDescent="0.25">
      <c r="A31" s="128" t="s">
        <v>26</v>
      </c>
      <c r="B31" s="128" t="s">
        <v>27</v>
      </c>
      <c r="C31" s="128" t="s">
        <v>34</v>
      </c>
      <c r="D31" s="128" t="s">
        <v>36</v>
      </c>
      <c r="E31" s="129">
        <v>41918.879999999997</v>
      </c>
      <c r="F31" s="129">
        <v>41918.879999999997</v>
      </c>
      <c r="G31" s="130" t="s">
        <v>186</v>
      </c>
      <c r="H31" s="129">
        <v>41918.879999999997</v>
      </c>
      <c r="I31" s="130" t="s">
        <v>186</v>
      </c>
      <c r="J31" s="129">
        <v>41918.879999999997</v>
      </c>
      <c r="K31" s="130" t="s">
        <v>186</v>
      </c>
      <c r="L31" s="129">
        <v>41918.879999999997</v>
      </c>
      <c r="M31" s="130" t="s">
        <v>186</v>
      </c>
    </row>
    <row r="32" spans="1:13" ht="45" x14ac:dyDescent="0.25">
      <c r="A32" s="128" t="s">
        <v>26</v>
      </c>
      <c r="B32" s="128" t="s">
        <v>27</v>
      </c>
      <c r="C32" s="128" t="s">
        <v>154</v>
      </c>
      <c r="D32" s="128" t="s">
        <v>155</v>
      </c>
      <c r="E32" s="129">
        <v>69664.792279411718</v>
      </c>
      <c r="F32" s="129">
        <v>69664.792279411718</v>
      </c>
      <c r="G32" s="130" t="s">
        <v>186</v>
      </c>
      <c r="H32" s="129">
        <v>69664.792279411718</v>
      </c>
      <c r="I32" s="130" t="s">
        <v>186</v>
      </c>
      <c r="J32" s="129">
        <v>69664.792279411718</v>
      </c>
      <c r="K32" s="130" t="s">
        <v>186</v>
      </c>
      <c r="L32" s="129">
        <v>69664.792279411718</v>
      </c>
      <c r="M32" s="130" t="s">
        <v>186</v>
      </c>
    </row>
    <row r="33" spans="1:13" x14ac:dyDescent="0.25">
      <c r="A33" s="128" t="s">
        <v>26</v>
      </c>
      <c r="B33" s="128" t="s">
        <v>37</v>
      </c>
      <c r="C33" s="128" t="s">
        <v>38</v>
      </c>
      <c r="D33" s="128" t="s">
        <v>30</v>
      </c>
      <c r="E33" s="129">
        <v>202798.24999999991</v>
      </c>
      <c r="F33" s="129">
        <v>202798.24999999991</v>
      </c>
      <c r="G33" s="130" t="s">
        <v>186</v>
      </c>
      <c r="H33" s="129">
        <v>202798.24999999991</v>
      </c>
      <c r="I33" s="130" t="s">
        <v>186</v>
      </c>
      <c r="J33" s="129">
        <v>202798.24999999991</v>
      </c>
      <c r="K33" s="130" t="s">
        <v>186</v>
      </c>
      <c r="L33" s="129">
        <v>202798.24999999991</v>
      </c>
      <c r="M33" s="130" t="s">
        <v>186</v>
      </c>
    </row>
    <row r="34" spans="1:13" ht="45" x14ac:dyDescent="0.25">
      <c r="A34" s="128" t="s">
        <v>26</v>
      </c>
      <c r="B34" s="128" t="s">
        <v>37</v>
      </c>
      <c r="C34" s="128" t="s">
        <v>98</v>
      </c>
      <c r="D34" s="128" t="s">
        <v>40</v>
      </c>
      <c r="E34" s="129">
        <v>14225.697777777767</v>
      </c>
      <c r="F34" s="129">
        <v>14225.697777777767</v>
      </c>
      <c r="G34" s="130" t="s">
        <v>186</v>
      </c>
      <c r="H34" s="129">
        <v>14225.697777777767</v>
      </c>
      <c r="I34" s="130" t="s">
        <v>186</v>
      </c>
      <c r="J34" s="129">
        <v>14225.697777777767</v>
      </c>
      <c r="K34" s="130" t="s">
        <v>186</v>
      </c>
      <c r="L34" s="129">
        <v>14225.697777777767</v>
      </c>
      <c r="M34" s="130" t="s">
        <v>186</v>
      </c>
    </row>
    <row r="35" spans="1:13" x14ac:dyDescent="0.25">
      <c r="A35" s="128" t="s">
        <v>26</v>
      </c>
      <c r="B35" s="128" t="s">
        <v>37</v>
      </c>
      <c r="C35" s="128" t="s">
        <v>39</v>
      </c>
      <c r="D35" s="128" t="s">
        <v>41</v>
      </c>
      <c r="E35" s="129">
        <v>33786.032222222195</v>
      </c>
      <c r="F35" s="129">
        <v>33786.032222222195</v>
      </c>
      <c r="G35" s="130" t="s">
        <v>186</v>
      </c>
      <c r="H35" s="129">
        <v>33786.032222222195</v>
      </c>
      <c r="I35" s="130" t="s">
        <v>186</v>
      </c>
      <c r="J35" s="129">
        <v>33786.032222222195</v>
      </c>
      <c r="K35" s="130" t="s">
        <v>186</v>
      </c>
      <c r="L35" s="129">
        <v>33786.032222222195</v>
      </c>
      <c r="M35" s="130" t="s">
        <v>186</v>
      </c>
    </row>
    <row r="36" spans="1:13" x14ac:dyDescent="0.25">
      <c r="A36" s="128" t="s">
        <v>26</v>
      </c>
      <c r="B36" s="128" t="s">
        <v>48</v>
      </c>
      <c r="C36" s="128" t="s">
        <v>50</v>
      </c>
      <c r="D36" s="128" t="s">
        <v>30</v>
      </c>
      <c r="E36" s="129">
        <v>197930.57800000015</v>
      </c>
      <c r="F36" s="129">
        <v>197930.57800000015</v>
      </c>
      <c r="G36" s="130" t="s">
        <v>186</v>
      </c>
      <c r="H36" s="129">
        <v>197930.57800000015</v>
      </c>
      <c r="I36" s="130" t="s">
        <v>186</v>
      </c>
      <c r="J36" s="129">
        <v>197930.57800000015</v>
      </c>
      <c r="K36" s="130" t="s">
        <v>186</v>
      </c>
      <c r="L36" s="129">
        <v>197930.57800000015</v>
      </c>
      <c r="M36" s="130" t="s">
        <v>186</v>
      </c>
    </row>
    <row r="37" spans="1:13" ht="45" x14ac:dyDescent="0.25">
      <c r="A37" s="128" t="s">
        <v>26</v>
      </c>
      <c r="B37" s="128" t="s">
        <v>48</v>
      </c>
      <c r="C37" s="128" t="s">
        <v>99</v>
      </c>
      <c r="D37" s="128" t="s">
        <v>40</v>
      </c>
      <c r="E37" s="129">
        <v>48039.180472087894</v>
      </c>
      <c r="F37" s="129">
        <v>48039.180472087894</v>
      </c>
      <c r="G37" s="130" t="s">
        <v>186</v>
      </c>
      <c r="H37" s="129">
        <v>48039.180472087894</v>
      </c>
      <c r="I37" s="130" t="s">
        <v>186</v>
      </c>
      <c r="J37" s="129">
        <v>48039.180472087894</v>
      </c>
      <c r="K37" s="130" t="s">
        <v>186</v>
      </c>
      <c r="L37" s="129">
        <v>48039.180472087894</v>
      </c>
      <c r="M37" s="130" t="s">
        <v>186</v>
      </c>
    </row>
    <row r="38" spans="1:13" x14ac:dyDescent="0.25">
      <c r="A38" s="128" t="s">
        <v>26</v>
      </c>
      <c r="B38" s="128" t="s">
        <v>48</v>
      </c>
      <c r="C38" s="128" t="s">
        <v>49</v>
      </c>
      <c r="D38" s="128" t="s">
        <v>41</v>
      </c>
      <c r="E38" s="129">
        <v>113870.65000791205</v>
      </c>
      <c r="F38" s="129">
        <v>113870.65000791205</v>
      </c>
      <c r="G38" s="130" t="s">
        <v>186</v>
      </c>
      <c r="H38" s="129">
        <v>113870.65000791205</v>
      </c>
      <c r="I38" s="130" t="s">
        <v>186</v>
      </c>
      <c r="J38" s="129">
        <v>113870.65000791205</v>
      </c>
      <c r="K38" s="130" t="s">
        <v>186</v>
      </c>
      <c r="L38" s="129">
        <v>113870.65000791205</v>
      </c>
      <c r="M38" s="130" t="s">
        <v>186</v>
      </c>
    </row>
    <row r="39" spans="1:13" x14ac:dyDescent="0.25">
      <c r="A39" s="128" t="s">
        <v>26</v>
      </c>
      <c r="B39" s="128" t="s">
        <v>48</v>
      </c>
      <c r="C39" s="128" t="s">
        <v>53</v>
      </c>
      <c r="D39" s="128" t="s">
        <v>30</v>
      </c>
      <c r="E39" s="129">
        <v>38583.482900000025</v>
      </c>
      <c r="F39" s="129">
        <v>38583.482900000025</v>
      </c>
      <c r="G39" s="130" t="s">
        <v>186</v>
      </c>
      <c r="H39" s="129">
        <v>38583.482900000025</v>
      </c>
      <c r="I39" s="130" t="s">
        <v>186</v>
      </c>
      <c r="J39" s="129">
        <v>38583.482900000025</v>
      </c>
      <c r="K39" s="130" t="s">
        <v>186</v>
      </c>
      <c r="L39" s="129">
        <v>38583.482900000025</v>
      </c>
      <c r="M39" s="130" t="s">
        <v>186</v>
      </c>
    </row>
    <row r="40" spans="1:13" x14ac:dyDescent="0.25">
      <c r="A40" s="128" t="s">
        <v>26</v>
      </c>
      <c r="B40" s="128" t="s">
        <v>42</v>
      </c>
      <c r="C40" s="128" t="s">
        <v>43</v>
      </c>
      <c r="D40" s="128" t="s">
        <v>30</v>
      </c>
      <c r="E40" s="129">
        <v>117331.45999999999</v>
      </c>
      <c r="F40" s="129">
        <v>117331.45999999999</v>
      </c>
      <c r="G40" s="130" t="s">
        <v>186</v>
      </c>
      <c r="H40" s="129">
        <v>117331.45999999999</v>
      </c>
      <c r="I40" s="130" t="s">
        <v>186</v>
      </c>
      <c r="J40" s="129">
        <v>117331.45999999999</v>
      </c>
      <c r="K40" s="130" t="s">
        <v>186</v>
      </c>
      <c r="L40" s="129">
        <v>117331.45999999999</v>
      </c>
      <c r="M40" s="130" t="s">
        <v>186</v>
      </c>
    </row>
    <row r="41" spans="1:13" ht="45" x14ac:dyDescent="0.25">
      <c r="A41" s="128" t="s">
        <v>26</v>
      </c>
      <c r="B41" s="128" t="s">
        <v>42</v>
      </c>
      <c r="C41" s="128" t="s">
        <v>100</v>
      </c>
      <c r="D41" s="128" t="s">
        <v>40</v>
      </c>
      <c r="E41" s="129">
        <v>31371.858461538464</v>
      </c>
      <c r="F41" s="129">
        <v>31371.858461538464</v>
      </c>
      <c r="G41" s="130" t="s">
        <v>186</v>
      </c>
      <c r="H41" s="129">
        <v>31371.858461538464</v>
      </c>
      <c r="I41" s="130" t="s">
        <v>186</v>
      </c>
      <c r="J41" s="129">
        <v>31371.858461538464</v>
      </c>
      <c r="K41" s="130" t="s">
        <v>186</v>
      </c>
      <c r="L41" s="129">
        <v>31371.858461538464</v>
      </c>
      <c r="M41" s="130" t="s">
        <v>186</v>
      </c>
    </row>
    <row r="42" spans="1:13" x14ac:dyDescent="0.25">
      <c r="A42" s="128" t="s">
        <v>26</v>
      </c>
      <c r="B42" s="128" t="s">
        <v>42</v>
      </c>
      <c r="C42" s="128" t="s">
        <v>44</v>
      </c>
      <c r="D42" s="128" t="s">
        <v>41</v>
      </c>
      <c r="E42" s="129">
        <v>53593.591538461544</v>
      </c>
      <c r="F42" s="129">
        <v>53593.591538461544</v>
      </c>
      <c r="G42" s="130" t="s">
        <v>186</v>
      </c>
      <c r="H42" s="129">
        <v>53593.591538461544</v>
      </c>
      <c r="I42" s="130" t="s">
        <v>186</v>
      </c>
      <c r="J42" s="129">
        <v>53593.591538461544</v>
      </c>
      <c r="K42" s="130" t="s">
        <v>186</v>
      </c>
      <c r="L42" s="129">
        <v>53593.591538461544</v>
      </c>
      <c r="M42" s="130" t="s">
        <v>186</v>
      </c>
    </row>
    <row r="43" spans="1:13" ht="45" x14ac:dyDescent="0.25">
      <c r="A43" s="128" t="s">
        <v>26</v>
      </c>
      <c r="B43" s="128" t="s">
        <v>42</v>
      </c>
      <c r="C43" s="128" t="s">
        <v>156</v>
      </c>
      <c r="D43" s="128" t="s">
        <v>157</v>
      </c>
      <c r="E43" s="129">
        <v>18310.153273878263</v>
      </c>
      <c r="F43" s="129">
        <v>18310.153273878263</v>
      </c>
      <c r="G43" s="130" t="s">
        <v>186</v>
      </c>
      <c r="H43" s="129">
        <v>18310.153273878263</v>
      </c>
      <c r="I43" s="130" t="s">
        <v>186</v>
      </c>
      <c r="J43" s="129">
        <v>18310.153273878263</v>
      </c>
      <c r="K43" s="130" t="s">
        <v>186</v>
      </c>
      <c r="L43" s="129">
        <v>18310.153273878263</v>
      </c>
      <c r="M43" s="130" t="s">
        <v>186</v>
      </c>
    </row>
    <row r="44" spans="1:13" x14ac:dyDescent="0.25">
      <c r="A44" s="128" t="s">
        <v>26</v>
      </c>
      <c r="B44" s="128" t="s">
        <v>42</v>
      </c>
      <c r="C44" s="128" t="s">
        <v>45</v>
      </c>
      <c r="D44" s="128" t="s">
        <v>46</v>
      </c>
      <c r="E44" s="129">
        <v>26811.295865321739</v>
      </c>
      <c r="F44" s="129">
        <v>26811.295865321739</v>
      </c>
      <c r="G44" s="130" t="s">
        <v>186</v>
      </c>
      <c r="H44" s="129">
        <v>26811.295865321739</v>
      </c>
      <c r="I44" s="130" t="s">
        <v>186</v>
      </c>
      <c r="J44" s="129">
        <v>26811.295865321739</v>
      </c>
      <c r="K44" s="130" t="s">
        <v>186</v>
      </c>
      <c r="L44" s="129">
        <v>26811.295865321739</v>
      </c>
      <c r="M44" s="130" t="s">
        <v>186</v>
      </c>
    </row>
    <row r="45" spans="1:13" x14ac:dyDescent="0.25">
      <c r="A45" s="128" t="s">
        <v>26</v>
      </c>
      <c r="B45" s="128" t="s">
        <v>42</v>
      </c>
      <c r="C45" s="128" t="s">
        <v>92</v>
      </c>
      <c r="D45" s="128" t="s">
        <v>30</v>
      </c>
      <c r="E45" s="129">
        <v>19379.126958333338</v>
      </c>
      <c r="F45" s="129">
        <v>19379.126958333338</v>
      </c>
      <c r="G45" s="130" t="s">
        <v>186</v>
      </c>
      <c r="H45" s="129">
        <v>19379.126958333338</v>
      </c>
      <c r="I45" s="130" t="s">
        <v>186</v>
      </c>
      <c r="J45" s="129">
        <v>19379.126958333338</v>
      </c>
      <c r="K45" s="130" t="s">
        <v>186</v>
      </c>
      <c r="L45" s="129">
        <v>19379.126958333338</v>
      </c>
      <c r="M45" s="130" t="s">
        <v>186</v>
      </c>
    </row>
    <row r="46" spans="1:13" x14ac:dyDescent="0.25">
      <c r="A46" s="128" t="s">
        <v>26</v>
      </c>
      <c r="B46" s="128" t="s">
        <v>42</v>
      </c>
      <c r="C46" s="128" t="s">
        <v>158</v>
      </c>
      <c r="D46" s="128" t="s">
        <v>30</v>
      </c>
      <c r="E46" s="129">
        <v>3875.8253916666677</v>
      </c>
      <c r="F46" s="129">
        <v>3875.8253916666677</v>
      </c>
      <c r="G46" s="130" t="s">
        <v>186</v>
      </c>
      <c r="H46" s="129">
        <v>3875.8253916666677</v>
      </c>
      <c r="I46" s="130" t="s">
        <v>186</v>
      </c>
      <c r="J46" s="129">
        <v>3875.8253916666677</v>
      </c>
      <c r="K46" s="130" t="s">
        <v>186</v>
      </c>
      <c r="L46" s="129">
        <v>3875.8253916666677</v>
      </c>
      <c r="M46" s="130" t="s">
        <v>186</v>
      </c>
    </row>
    <row r="47" spans="1:13" x14ac:dyDescent="0.25">
      <c r="A47" s="128" t="s">
        <v>26</v>
      </c>
      <c r="B47" s="128" t="s">
        <v>47</v>
      </c>
      <c r="C47" s="128" t="s">
        <v>47</v>
      </c>
      <c r="D47" s="128" t="s">
        <v>30</v>
      </c>
      <c r="E47" s="129">
        <v>231366.75872000019</v>
      </c>
      <c r="F47" s="129">
        <v>231366.75872000019</v>
      </c>
      <c r="G47" s="130" t="s">
        <v>186</v>
      </c>
      <c r="H47" s="129">
        <v>231366.75872000019</v>
      </c>
      <c r="I47" s="130" t="s">
        <v>186</v>
      </c>
      <c r="J47" s="129">
        <v>231366.75872000019</v>
      </c>
      <c r="K47" s="130" t="s">
        <v>186</v>
      </c>
      <c r="L47" s="129">
        <v>231366.75872000019</v>
      </c>
      <c r="M47" s="130" t="s">
        <v>186</v>
      </c>
    </row>
    <row r="48" spans="1:13" ht="45" x14ac:dyDescent="0.25">
      <c r="A48" s="128" t="s">
        <v>26</v>
      </c>
      <c r="B48" s="128" t="s">
        <v>51</v>
      </c>
      <c r="C48" s="128" t="s">
        <v>73</v>
      </c>
      <c r="D48" s="128" t="s">
        <v>159</v>
      </c>
      <c r="E48" s="129">
        <v>48467.366153846124</v>
      </c>
      <c r="F48" s="129">
        <v>48467.366153846124</v>
      </c>
      <c r="G48" s="130" t="s">
        <v>186</v>
      </c>
      <c r="H48" s="129">
        <v>48467.366153846124</v>
      </c>
      <c r="I48" s="130" t="s">
        <v>186</v>
      </c>
      <c r="J48" s="129">
        <v>48467.366153846124</v>
      </c>
      <c r="K48" s="130" t="s">
        <v>186</v>
      </c>
      <c r="L48" s="129">
        <v>48467.366153846124</v>
      </c>
      <c r="M48" s="130" t="s">
        <v>186</v>
      </c>
    </row>
    <row r="49" spans="1:13" ht="45" x14ac:dyDescent="0.25">
      <c r="A49" s="128" t="s">
        <v>26</v>
      </c>
      <c r="B49" s="128" t="s">
        <v>51</v>
      </c>
      <c r="C49" s="128" t="s">
        <v>73</v>
      </c>
      <c r="D49" s="128" t="s">
        <v>160</v>
      </c>
      <c r="E49" s="129">
        <v>37063.279999999977</v>
      </c>
      <c r="F49" s="129">
        <v>25659.19384615383</v>
      </c>
      <c r="G49" s="130" t="s">
        <v>192</v>
      </c>
      <c r="H49" s="129">
        <v>25659.19384615383</v>
      </c>
      <c r="I49" s="130" t="s">
        <v>192</v>
      </c>
      <c r="J49" s="129">
        <v>22808.172307692294</v>
      </c>
      <c r="K49" s="130" t="s">
        <v>193</v>
      </c>
      <c r="L49" s="129">
        <v>0</v>
      </c>
      <c r="M49" s="130" t="s">
        <v>187</v>
      </c>
    </row>
    <row r="50" spans="1:13" ht="45" x14ac:dyDescent="0.25">
      <c r="A50" s="128" t="s">
        <v>26</v>
      </c>
      <c r="B50" s="128" t="s">
        <v>51</v>
      </c>
      <c r="C50" s="128" t="s">
        <v>73</v>
      </c>
      <c r="D50" s="128" t="s">
        <v>161</v>
      </c>
      <c r="E50" s="129">
        <v>2851.0215384615367</v>
      </c>
      <c r="F50" s="129">
        <v>2851.0215384615367</v>
      </c>
      <c r="G50" s="130" t="s">
        <v>186</v>
      </c>
      <c r="H50" s="129">
        <v>2851.0215384615367</v>
      </c>
      <c r="I50" s="130" t="s">
        <v>186</v>
      </c>
      <c r="J50" s="129">
        <v>0</v>
      </c>
      <c r="K50" s="130" t="s">
        <v>187</v>
      </c>
      <c r="L50" s="129">
        <v>0</v>
      </c>
      <c r="M50" s="130" t="s">
        <v>187</v>
      </c>
    </row>
    <row r="51" spans="1:13" ht="45" x14ac:dyDescent="0.25">
      <c r="A51" s="128" t="s">
        <v>26</v>
      </c>
      <c r="B51" s="128" t="s">
        <v>51</v>
      </c>
      <c r="C51" s="128" t="s">
        <v>72</v>
      </c>
      <c r="D51" s="128" t="s">
        <v>159</v>
      </c>
      <c r="E51" s="129">
        <v>56297.169999999955</v>
      </c>
      <c r="F51" s="129">
        <v>56297.169999999955</v>
      </c>
      <c r="G51" s="130" t="s">
        <v>186</v>
      </c>
      <c r="H51" s="129">
        <v>56297.169999999955</v>
      </c>
      <c r="I51" s="130" t="s">
        <v>186</v>
      </c>
      <c r="J51" s="129">
        <v>56297.169999999955</v>
      </c>
      <c r="K51" s="130" t="s">
        <v>186</v>
      </c>
      <c r="L51" s="129">
        <v>56297.169999999955</v>
      </c>
      <c r="M51" s="130" t="s">
        <v>186</v>
      </c>
    </row>
    <row r="52" spans="1:13" ht="45" x14ac:dyDescent="0.25">
      <c r="A52" s="128" t="s">
        <v>26</v>
      </c>
      <c r="B52" s="128" t="s">
        <v>51</v>
      </c>
      <c r="C52" s="128" t="s">
        <v>72</v>
      </c>
      <c r="D52" s="128" t="s">
        <v>160</v>
      </c>
      <c r="E52" s="129">
        <v>56297.169999999955</v>
      </c>
      <c r="F52" s="129">
        <v>56297.169999999955</v>
      </c>
      <c r="G52" s="130" t="s">
        <v>186</v>
      </c>
      <c r="H52" s="129">
        <v>56297.169999999955</v>
      </c>
      <c r="I52" s="130" t="s">
        <v>186</v>
      </c>
      <c r="J52" s="129">
        <v>56297.169999999955</v>
      </c>
      <c r="K52" s="130" t="s">
        <v>186</v>
      </c>
      <c r="L52" s="129">
        <v>56297.169999999955</v>
      </c>
      <c r="M52" s="130" t="s">
        <v>186</v>
      </c>
    </row>
    <row r="53" spans="1:13" ht="45" x14ac:dyDescent="0.25">
      <c r="A53" s="128" t="s">
        <v>26</v>
      </c>
      <c r="B53" s="128" t="s">
        <v>51</v>
      </c>
      <c r="C53" s="128" t="s">
        <v>69</v>
      </c>
      <c r="D53" s="128" t="s">
        <v>159</v>
      </c>
      <c r="E53" s="129">
        <v>51802.619999999923</v>
      </c>
      <c r="F53" s="129">
        <v>51802.619999999923</v>
      </c>
      <c r="G53" s="130" t="s">
        <v>186</v>
      </c>
      <c r="H53" s="129">
        <v>51802.619999999923</v>
      </c>
      <c r="I53" s="130" t="s">
        <v>186</v>
      </c>
      <c r="J53" s="129">
        <v>51802.619999999923</v>
      </c>
      <c r="K53" s="130" t="s">
        <v>186</v>
      </c>
      <c r="L53" s="129">
        <v>51802.619999999923</v>
      </c>
      <c r="M53" s="130" t="s">
        <v>186</v>
      </c>
    </row>
    <row r="54" spans="1:13" ht="45" x14ac:dyDescent="0.25">
      <c r="A54" s="128" t="s">
        <v>26</v>
      </c>
      <c r="B54" s="128" t="s">
        <v>51</v>
      </c>
      <c r="C54" s="128" t="s">
        <v>69</v>
      </c>
      <c r="D54" s="128" t="s">
        <v>160</v>
      </c>
      <c r="E54" s="129">
        <v>51802.619999999923</v>
      </c>
      <c r="F54" s="129">
        <v>51802.619999999923</v>
      </c>
      <c r="G54" s="130" t="s">
        <v>186</v>
      </c>
      <c r="H54" s="129">
        <v>51802.619999999923</v>
      </c>
      <c r="I54" s="130" t="s">
        <v>186</v>
      </c>
      <c r="J54" s="129">
        <v>51802.619999999923</v>
      </c>
      <c r="K54" s="130" t="s">
        <v>186</v>
      </c>
      <c r="L54" s="129">
        <v>51802.619999999923</v>
      </c>
      <c r="M54" s="130" t="s">
        <v>186</v>
      </c>
    </row>
    <row r="55" spans="1:13" ht="45" x14ac:dyDescent="0.25">
      <c r="A55" s="128" t="s">
        <v>26</v>
      </c>
      <c r="B55" s="128" t="s">
        <v>51</v>
      </c>
      <c r="C55" s="128" t="s">
        <v>68</v>
      </c>
      <c r="D55" s="128" t="s">
        <v>159</v>
      </c>
      <c r="E55" s="129">
        <v>89929.743749999994</v>
      </c>
      <c r="F55" s="129">
        <v>89929.743749999994</v>
      </c>
      <c r="G55" s="130" t="s">
        <v>186</v>
      </c>
      <c r="H55" s="129">
        <v>89929.743749999994</v>
      </c>
      <c r="I55" s="130" t="s">
        <v>186</v>
      </c>
      <c r="J55" s="129">
        <v>89929.743749999994</v>
      </c>
      <c r="K55" s="130" t="s">
        <v>186</v>
      </c>
      <c r="L55" s="129">
        <v>89929.743749999994</v>
      </c>
      <c r="M55" s="130" t="s">
        <v>186</v>
      </c>
    </row>
    <row r="56" spans="1:13" ht="45" x14ac:dyDescent="0.25">
      <c r="A56" s="128" t="s">
        <v>26</v>
      </c>
      <c r="B56" s="128" t="s">
        <v>51</v>
      </c>
      <c r="C56" s="128" t="s">
        <v>68</v>
      </c>
      <c r="D56" s="128" t="s">
        <v>160</v>
      </c>
      <c r="E56" s="129">
        <v>5995.3162499999999</v>
      </c>
      <c r="F56" s="129">
        <v>5995.3162499999999</v>
      </c>
      <c r="G56" s="130" t="s">
        <v>186</v>
      </c>
      <c r="H56" s="129">
        <v>5995.3162499999999</v>
      </c>
      <c r="I56" s="130" t="s">
        <v>186</v>
      </c>
      <c r="J56" s="129">
        <v>5995.3162499999999</v>
      </c>
      <c r="K56" s="130" t="s">
        <v>186</v>
      </c>
      <c r="L56" s="129">
        <v>5995.3162499999999</v>
      </c>
      <c r="M56" s="130" t="s">
        <v>186</v>
      </c>
    </row>
    <row r="57" spans="1:13" ht="45" x14ac:dyDescent="0.25">
      <c r="A57" s="128" t="s">
        <v>26</v>
      </c>
      <c r="B57" s="128" t="s">
        <v>51</v>
      </c>
      <c r="C57" s="128" t="s">
        <v>60</v>
      </c>
      <c r="D57" s="128" t="s">
        <v>159</v>
      </c>
      <c r="E57" s="129">
        <v>84125.098536585356</v>
      </c>
      <c r="F57" s="129">
        <v>84125.098536585356</v>
      </c>
      <c r="G57" s="130" t="s">
        <v>186</v>
      </c>
      <c r="H57" s="129">
        <v>84125.098536585356</v>
      </c>
      <c r="I57" s="130" t="s">
        <v>186</v>
      </c>
      <c r="J57" s="129">
        <v>84125.098536585356</v>
      </c>
      <c r="K57" s="130" t="s">
        <v>186</v>
      </c>
      <c r="L57" s="129">
        <v>84125.098536585356</v>
      </c>
      <c r="M57" s="130" t="s">
        <v>186</v>
      </c>
    </row>
    <row r="58" spans="1:13" ht="45" x14ac:dyDescent="0.25">
      <c r="A58" s="128" t="s">
        <v>26</v>
      </c>
      <c r="B58" s="128" t="s">
        <v>51</v>
      </c>
      <c r="C58" s="128" t="s">
        <v>60</v>
      </c>
      <c r="D58" s="128" t="s">
        <v>160</v>
      </c>
      <c r="E58" s="129">
        <v>11684.041463414633</v>
      </c>
      <c r="F58" s="129">
        <v>11684.041463414633</v>
      </c>
      <c r="G58" s="130" t="s">
        <v>186</v>
      </c>
      <c r="H58" s="129">
        <v>11684.041463414633</v>
      </c>
      <c r="I58" s="130" t="s">
        <v>186</v>
      </c>
      <c r="J58" s="129">
        <v>11684.041463414633</v>
      </c>
      <c r="K58" s="130" t="s">
        <v>186</v>
      </c>
      <c r="L58" s="129">
        <v>11684.041463414633</v>
      </c>
      <c r="M58" s="130" t="s">
        <v>186</v>
      </c>
    </row>
    <row r="59" spans="1:13" ht="45" x14ac:dyDescent="0.25">
      <c r="A59" s="128" t="s">
        <v>26</v>
      </c>
      <c r="B59" s="128" t="s">
        <v>51</v>
      </c>
      <c r="C59" s="128" t="s">
        <v>57</v>
      </c>
      <c r="D59" s="128" t="s">
        <v>159</v>
      </c>
      <c r="E59" s="129">
        <v>92753.886822227039</v>
      </c>
      <c r="F59" s="129">
        <v>92753.886822227039</v>
      </c>
      <c r="G59" s="130" t="s">
        <v>186</v>
      </c>
      <c r="H59" s="129">
        <v>92753.886822227039</v>
      </c>
      <c r="I59" s="130" t="s">
        <v>186</v>
      </c>
      <c r="J59" s="129">
        <v>92753.886822227039</v>
      </c>
      <c r="K59" s="130" t="s">
        <v>186</v>
      </c>
      <c r="L59" s="129">
        <v>92753.886822227039</v>
      </c>
      <c r="M59" s="130" t="s">
        <v>186</v>
      </c>
    </row>
    <row r="60" spans="1:13" ht="45" x14ac:dyDescent="0.25">
      <c r="A60" s="128" t="s">
        <v>26</v>
      </c>
      <c r="B60" s="128" t="s">
        <v>51</v>
      </c>
      <c r="C60" s="128" t="s">
        <v>57</v>
      </c>
      <c r="D60" s="128" t="s">
        <v>160</v>
      </c>
      <c r="E60" s="129">
        <v>2576.4968561729734</v>
      </c>
      <c r="F60" s="129">
        <v>2576.4968561729734</v>
      </c>
      <c r="G60" s="130" t="s">
        <v>186</v>
      </c>
      <c r="H60" s="129">
        <v>2576.4968561729734</v>
      </c>
      <c r="I60" s="130" t="s">
        <v>186</v>
      </c>
      <c r="J60" s="129">
        <v>2576.4968561729734</v>
      </c>
      <c r="K60" s="130" t="s">
        <v>186</v>
      </c>
      <c r="L60" s="129">
        <v>2576.4968561729734</v>
      </c>
      <c r="M60" s="130" t="s">
        <v>186</v>
      </c>
    </row>
    <row r="61" spans="1:13" ht="45" x14ac:dyDescent="0.25">
      <c r="A61" s="128" t="s">
        <v>26</v>
      </c>
      <c r="B61" s="128" t="s">
        <v>51</v>
      </c>
      <c r="C61" s="128" t="s">
        <v>55</v>
      </c>
      <c r="D61" s="128" t="s">
        <v>159</v>
      </c>
      <c r="E61" s="129">
        <v>33687.787500000006</v>
      </c>
      <c r="F61" s="129">
        <v>33687.787500000006</v>
      </c>
      <c r="G61" s="130" t="s">
        <v>186</v>
      </c>
      <c r="H61" s="129">
        <v>33687.787500000006</v>
      </c>
      <c r="I61" s="130" t="s">
        <v>186</v>
      </c>
      <c r="J61" s="129">
        <v>33687.787500000006</v>
      </c>
      <c r="K61" s="130" t="s">
        <v>186</v>
      </c>
      <c r="L61" s="129">
        <v>33687.787500000006</v>
      </c>
      <c r="M61" s="130" t="s">
        <v>186</v>
      </c>
    </row>
    <row r="62" spans="1:13" ht="45" x14ac:dyDescent="0.25">
      <c r="A62" s="128" t="s">
        <v>26</v>
      </c>
      <c r="B62" s="128" t="s">
        <v>51</v>
      </c>
      <c r="C62" s="128" t="s">
        <v>55</v>
      </c>
      <c r="D62" s="128" t="s">
        <v>160</v>
      </c>
      <c r="E62" s="129">
        <v>1464.6864130434785</v>
      </c>
      <c r="F62" s="129">
        <v>1464.6864130434785</v>
      </c>
      <c r="G62" s="130" t="s">
        <v>186</v>
      </c>
      <c r="H62" s="129">
        <v>1464.6864130434785</v>
      </c>
      <c r="I62" s="130" t="s">
        <v>186</v>
      </c>
      <c r="J62" s="129">
        <v>1464.6864130434785</v>
      </c>
      <c r="K62" s="130" t="s">
        <v>186</v>
      </c>
      <c r="L62" s="129">
        <v>1464.6864130434785</v>
      </c>
      <c r="M62" s="130" t="s">
        <v>186</v>
      </c>
    </row>
    <row r="63" spans="1:13" ht="45" x14ac:dyDescent="0.25">
      <c r="A63" s="128" t="s">
        <v>26</v>
      </c>
      <c r="B63" s="128" t="s">
        <v>51</v>
      </c>
      <c r="C63" s="128" t="s">
        <v>55</v>
      </c>
      <c r="D63" s="128" t="s">
        <v>162</v>
      </c>
      <c r="E63" s="129">
        <v>99598.676086956533</v>
      </c>
      <c r="F63" s="129">
        <v>99598.676086956533</v>
      </c>
      <c r="G63" s="130" t="s">
        <v>186</v>
      </c>
      <c r="H63" s="129">
        <v>99598.676086956533</v>
      </c>
      <c r="I63" s="130" t="s">
        <v>186</v>
      </c>
      <c r="J63" s="129">
        <v>99598.676086956533</v>
      </c>
      <c r="K63" s="130" t="s">
        <v>186</v>
      </c>
      <c r="L63" s="129">
        <v>99598.676086956533</v>
      </c>
      <c r="M63" s="130" t="s">
        <v>186</v>
      </c>
    </row>
    <row r="64" spans="1:13" ht="45" x14ac:dyDescent="0.25">
      <c r="A64" s="128" t="s">
        <v>26</v>
      </c>
      <c r="B64" s="128" t="s">
        <v>51</v>
      </c>
      <c r="C64" s="128" t="s">
        <v>52</v>
      </c>
      <c r="D64" s="128" t="s">
        <v>159</v>
      </c>
      <c r="E64" s="129">
        <v>67096.790270270314</v>
      </c>
      <c r="F64" s="129">
        <v>67096.790270270314</v>
      </c>
      <c r="G64" s="130" t="s">
        <v>186</v>
      </c>
      <c r="H64" s="129">
        <v>67096.790270270314</v>
      </c>
      <c r="I64" s="130" t="s">
        <v>186</v>
      </c>
      <c r="J64" s="129">
        <v>67096.790270270314</v>
      </c>
      <c r="K64" s="130" t="s">
        <v>186</v>
      </c>
      <c r="L64" s="129">
        <v>67096.790270270314</v>
      </c>
      <c r="M64" s="130" t="s">
        <v>186</v>
      </c>
    </row>
    <row r="65" spans="1:13" ht="45" x14ac:dyDescent="0.25">
      <c r="A65" s="128" t="s">
        <v>26</v>
      </c>
      <c r="B65" s="128" t="s">
        <v>51</v>
      </c>
      <c r="C65" s="128" t="s">
        <v>52</v>
      </c>
      <c r="D65" s="128" t="s">
        <v>163</v>
      </c>
      <c r="E65" s="129">
        <v>1863.7997297297309</v>
      </c>
      <c r="F65" s="129">
        <v>1863.7997297297309</v>
      </c>
      <c r="G65" s="130" t="s">
        <v>186</v>
      </c>
      <c r="H65" s="129">
        <v>1863.7997297297309</v>
      </c>
      <c r="I65" s="130" t="s">
        <v>186</v>
      </c>
      <c r="J65" s="129">
        <v>1863.7997297297309</v>
      </c>
      <c r="K65" s="130" t="s">
        <v>186</v>
      </c>
      <c r="L65" s="129">
        <v>1863.7997297297309</v>
      </c>
      <c r="M65" s="130" t="s">
        <v>186</v>
      </c>
    </row>
    <row r="66" spans="1:13" ht="30" x14ac:dyDescent="0.25">
      <c r="A66" s="130" t="s">
        <v>114</v>
      </c>
      <c r="B66" s="130" t="s">
        <v>114</v>
      </c>
      <c r="C66" s="130" t="s">
        <v>114</v>
      </c>
      <c r="D66" s="130" t="s">
        <v>114</v>
      </c>
      <c r="E66" s="130" t="s">
        <v>241</v>
      </c>
      <c r="F66" s="130" t="s">
        <v>242</v>
      </c>
      <c r="G66" s="130" t="s">
        <v>114</v>
      </c>
      <c r="H66" s="130" t="s">
        <v>243</v>
      </c>
      <c r="I66" s="130" t="s">
        <v>114</v>
      </c>
      <c r="J66" s="130" t="s">
        <v>244</v>
      </c>
      <c r="K66" s="130" t="s">
        <v>114</v>
      </c>
      <c r="L66" s="130" t="s">
        <v>245</v>
      </c>
      <c r="M66" s="130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81361-6F02-4DEA-870F-B808AE04ECE7}">
  <dimension ref="A1:M66"/>
  <sheetViews>
    <sheetView topLeftCell="A54" workbookViewId="0">
      <selection activeCell="A2" sqref="A2:M65"/>
    </sheetView>
  </sheetViews>
  <sheetFormatPr defaultRowHeight="15" x14ac:dyDescent="0.25"/>
  <sheetData>
    <row r="1" spans="1:13" x14ac:dyDescent="0.25">
      <c r="A1" s="123" t="s">
        <v>218</v>
      </c>
      <c r="B1" s="123" t="s">
        <v>231</v>
      </c>
      <c r="C1" s="123" t="s">
        <v>177</v>
      </c>
      <c r="D1" s="123" t="s">
        <v>178</v>
      </c>
      <c r="E1" s="123" t="s">
        <v>179</v>
      </c>
      <c r="F1" s="123" t="s">
        <v>106</v>
      </c>
      <c r="G1" s="123" t="s">
        <v>180</v>
      </c>
      <c r="H1" s="123" t="s">
        <v>108</v>
      </c>
      <c r="I1" s="123" t="s">
        <v>181</v>
      </c>
      <c r="J1" s="123" t="s">
        <v>182</v>
      </c>
      <c r="K1" s="123" t="s">
        <v>183</v>
      </c>
      <c r="L1" s="123" t="s">
        <v>223</v>
      </c>
      <c r="M1" s="123" t="s">
        <v>224</v>
      </c>
    </row>
    <row r="2" spans="1:13" x14ac:dyDescent="0.25">
      <c r="A2" s="124" t="s">
        <v>26</v>
      </c>
      <c r="B2" s="124" t="s">
        <v>54</v>
      </c>
      <c r="C2" s="124" t="s">
        <v>82</v>
      </c>
      <c r="D2" s="124" t="s">
        <v>83</v>
      </c>
      <c r="E2" s="125">
        <v>61548.353999999999</v>
      </c>
      <c r="F2" s="125">
        <v>0</v>
      </c>
      <c r="G2" s="126" t="s">
        <v>187</v>
      </c>
      <c r="H2" s="125">
        <v>0</v>
      </c>
      <c r="I2" s="126" t="s">
        <v>187</v>
      </c>
      <c r="J2" s="125">
        <v>0</v>
      </c>
      <c r="K2" s="126" t="s">
        <v>187</v>
      </c>
      <c r="L2" s="125">
        <v>0</v>
      </c>
      <c r="M2" s="126" t="s">
        <v>187</v>
      </c>
    </row>
    <row r="3" spans="1:13" x14ac:dyDescent="0.25">
      <c r="A3" s="124" t="s">
        <v>26</v>
      </c>
      <c r="B3" s="124" t="s">
        <v>54</v>
      </c>
      <c r="C3" s="124" t="s">
        <v>84</v>
      </c>
      <c r="D3" s="124" t="s">
        <v>83</v>
      </c>
      <c r="E3" s="125">
        <v>61548.354399999989</v>
      </c>
      <c r="F3" s="125">
        <v>0</v>
      </c>
      <c r="G3" s="126" t="s">
        <v>187</v>
      </c>
      <c r="H3" s="125">
        <v>0</v>
      </c>
      <c r="I3" s="126" t="s">
        <v>187</v>
      </c>
      <c r="J3" s="125">
        <v>0</v>
      </c>
      <c r="K3" s="126" t="s">
        <v>187</v>
      </c>
      <c r="L3" s="125">
        <v>0</v>
      </c>
      <c r="M3" s="126" t="s">
        <v>187</v>
      </c>
    </row>
    <row r="4" spans="1:13" x14ac:dyDescent="0.25">
      <c r="A4" s="124" t="s">
        <v>26</v>
      </c>
      <c r="B4" s="124" t="s">
        <v>54</v>
      </c>
      <c r="C4" s="124" t="s">
        <v>94</v>
      </c>
      <c r="D4" s="124" t="s">
        <v>101</v>
      </c>
      <c r="E4" s="125">
        <v>116529.73999999999</v>
      </c>
      <c r="F4" s="125">
        <v>67975.681666666671</v>
      </c>
      <c r="G4" s="126" t="s">
        <v>226</v>
      </c>
      <c r="H4" s="125">
        <v>48554.058333333334</v>
      </c>
      <c r="I4" s="126" t="s">
        <v>227</v>
      </c>
      <c r="J4" s="125">
        <v>14566.217499999999</v>
      </c>
      <c r="K4" s="126" t="s">
        <v>203</v>
      </c>
      <c r="L4" s="125">
        <v>0</v>
      </c>
      <c r="M4" s="126" t="s">
        <v>187</v>
      </c>
    </row>
    <row r="5" spans="1:13" ht="30" x14ac:dyDescent="0.25">
      <c r="A5" s="124" t="s">
        <v>26</v>
      </c>
      <c r="B5" s="124" t="s">
        <v>54</v>
      </c>
      <c r="C5" s="124" t="s">
        <v>79</v>
      </c>
      <c r="D5" s="124" t="s">
        <v>59</v>
      </c>
      <c r="E5" s="125">
        <v>66526.931673225015</v>
      </c>
      <c r="F5" s="125">
        <v>66526.931673225015</v>
      </c>
      <c r="G5" s="126" t="s">
        <v>186</v>
      </c>
      <c r="H5" s="125">
        <v>66526.931673225015</v>
      </c>
      <c r="I5" s="126" t="s">
        <v>186</v>
      </c>
      <c r="J5" s="125">
        <v>66526.931673225015</v>
      </c>
      <c r="K5" s="126" t="s">
        <v>186</v>
      </c>
      <c r="L5" s="125">
        <v>66526.931673225015</v>
      </c>
      <c r="M5" s="126" t="s">
        <v>186</v>
      </c>
    </row>
    <row r="6" spans="1:13" ht="30" x14ac:dyDescent="0.25">
      <c r="A6" s="124" t="s">
        <v>26</v>
      </c>
      <c r="B6" s="124" t="s">
        <v>54</v>
      </c>
      <c r="C6" s="124" t="s">
        <v>80</v>
      </c>
      <c r="D6" s="124" t="s">
        <v>59</v>
      </c>
      <c r="E6" s="125">
        <v>27322.570000000014</v>
      </c>
      <c r="F6" s="125">
        <v>27322.570000000014</v>
      </c>
      <c r="G6" s="126" t="s">
        <v>186</v>
      </c>
      <c r="H6" s="125">
        <v>27322.570000000014</v>
      </c>
      <c r="I6" s="126" t="s">
        <v>186</v>
      </c>
      <c r="J6" s="125">
        <v>27322.570000000014</v>
      </c>
      <c r="K6" s="126" t="s">
        <v>186</v>
      </c>
      <c r="L6" s="125">
        <v>27322.570000000014</v>
      </c>
      <c r="M6" s="126" t="s">
        <v>186</v>
      </c>
    </row>
    <row r="7" spans="1:13" ht="30" x14ac:dyDescent="0.25">
      <c r="A7" s="124" t="s">
        <v>26</v>
      </c>
      <c r="B7" s="124" t="s">
        <v>54</v>
      </c>
      <c r="C7" s="124" t="s">
        <v>89</v>
      </c>
      <c r="D7" s="124" t="s">
        <v>59</v>
      </c>
      <c r="E7" s="125">
        <v>7738.8999999999987</v>
      </c>
      <c r="F7" s="125">
        <v>7738.8999999999987</v>
      </c>
      <c r="G7" s="126" t="s">
        <v>186</v>
      </c>
      <c r="H7" s="125">
        <v>7738.8999999999987</v>
      </c>
      <c r="I7" s="126" t="s">
        <v>186</v>
      </c>
      <c r="J7" s="125">
        <v>7738.8999999999987</v>
      </c>
      <c r="K7" s="126" t="s">
        <v>186</v>
      </c>
      <c r="L7" s="125">
        <v>7738.8999999999987</v>
      </c>
      <c r="M7" s="126" t="s">
        <v>186</v>
      </c>
    </row>
    <row r="8" spans="1:13" ht="30" x14ac:dyDescent="0.25">
      <c r="A8" s="124" t="s">
        <v>26</v>
      </c>
      <c r="B8" s="124" t="s">
        <v>54</v>
      </c>
      <c r="C8" s="124" t="s">
        <v>90</v>
      </c>
      <c r="D8" s="124" t="s">
        <v>59</v>
      </c>
      <c r="E8" s="125">
        <v>12606.7</v>
      </c>
      <c r="F8" s="125">
        <v>12606.7</v>
      </c>
      <c r="G8" s="126" t="s">
        <v>186</v>
      </c>
      <c r="H8" s="125">
        <v>12606.7</v>
      </c>
      <c r="I8" s="126" t="s">
        <v>186</v>
      </c>
      <c r="J8" s="125">
        <v>12606.7</v>
      </c>
      <c r="K8" s="126" t="s">
        <v>186</v>
      </c>
      <c r="L8" s="125">
        <v>12606.7</v>
      </c>
      <c r="M8" s="126" t="s">
        <v>186</v>
      </c>
    </row>
    <row r="9" spans="1:13" ht="30" x14ac:dyDescent="0.25">
      <c r="A9" s="124" t="s">
        <v>26</v>
      </c>
      <c r="B9" s="124" t="s">
        <v>54</v>
      </c>
      <c r="C9" s="124" t="s">
        <v>87</v>
      </c>
      <c r="D9" s="124" t="s">
        <v>59</v>
      </c>
      <c r="E9" s="125">
        <v>11821.399999999996</v>
      </c>
      <c r="F9" s="125">
        <v>11821.399999999996</v>
      </c>
      <c r="G9" s="126" t="s">
        <v>186</v>
      </c>
      <c r="H9" s="125">
        <v>11821.399999999996</v>
      </c>
      <c r="I9" s="126" t="s">
        <v>186</v>
      </c>
      <c r="J9" s="125">
        <v>11821.399999999996</v>
      </c>
      <c r="K9" s="126" t="s">
        <v>186</v>
      </c>
      <c r="L9" s="125">
        <v>11821.399999999996</v>
      </c>
      <c r="M9" s="126" t="s">
        <v>186</v>
      </c>
    </row>
    <row r="10" spans="1:13" ht="30" x14ac:dyDescent="0.25">
      <c r="A10" s="124" t="s">
        <v>26</v>
      </c>
      <c r="B10" s="124" t="s">
        <v>54</v>
      </c>
      <c r="C10" s="124" t="s">
        <v>93</v>
      </c>
      <c r="D10" s="124" t="s">
        <v>59</v>
      </c>
      <c r="E10" s="125">
        <v>13649.199999999999</v>
      </c>
      <c r="F10" s="125">
        <v>13649.199999999999</v>
      </c>
      <c r="G10" s="126" t="s">
        <v>186</v>
      </c>
      <c r="H10" s="125">
        <v>13649.199999999999</v>
      </c>
      <c r="I10" s="126" t="s">
        <v>186</v>
      </c>
      <c r="J10" s="125">
        <v>13649.199999999999</v>
      </c>
      <c r="K10" s="126" t="s">
        <v>186</v>
      </c>
      <c r="L10" s="125">
        <v>13649.199999999999</v>
      </c>
      <c r="M10" s="126" t="s">
        <v>186</v>
      </c>
    </row>
    <row r="11" spans="1:13" ht="30" x14ac:dyDescent="0.25">
      <c r="A11" s="124" t="s">
        <v>26</v>
      </c>
      <c r="B11" s="124" t="s">
        <v>54</v>
      </c>
      <c r="C11" s="124" t="s">
        <v>58</v>
      </c>
      <c r="D11" s="124" t="s">
        <v>59</v>
      </c>
      <c r="E11" s="125">
        <v>18010.695291250006</v>
      </c>
      <c r="F11" s="125">
        <v>18010.695291250006</v>
      </c>
      <c r="G11" s="126" t="s">
        <v>186</v>
      </c>
      <c r="H11" s="125">
        <v>18010.695291250006</v>
      </c>
      <c r="I11" s="126" t="s">
        <v>186</v>
      </c>
      <c r="J11" s="125">
        <v>18010.695291250006</v>
      </c>
      <c r="K11" s="126" t="s">
        <v>186</v>
      </c>
      <c r="L11" s="125">
        <v>18010.695291250006</v>
      </c>
      <c r="M11" s="126" t="s">
        <v>186</v>
      </c>
    </row>
    <row r="12" spans="1:13" ht="30" x14ac:dyDescent="0.25">
      <c r="A12" s="124" t="s">
        <v>26</v>
      </c>
      <c r="B12" s="124" t="s">
        <v>54</v>
      </c>
      <c r="C12" s="124" t="s">
        <v>77</v>
      </c>
      <c r="D12" s="124" t="s">
        <v>59</v>
      </c>
      <c r="E12" s="125">
        <v>14499.954724850006</v>
      </c>
      <c r="F12" s="125">
        <v>14499.954724850006</v>
      </c>
      <c r="G12" s="126" t="s">
        <v>186</v>
      </c>
      <c r="H12" s="125">
        <v>14499.954724850006</v>
      </c>
      <c r="I12" s="126" t="s">
        <v>186</v>
      </c>
      <c r="J12" s="125">
        <v>14499.954724850006</v>
      </c>
      <c r="K12" s="126" t="s">
        <v>186</v>
      </c>
      <c r="L12" s="125">
        <v>14499.954724850006</v>
      </c>
      <c r="M12" s="126" t="s">
        <v>186</v>
      </c>
    </row>
    <row r="13" spans="1:13" ht="45" x14ac:dyDescent="0.25">
      <c r="A13" s="124" t="s">
        <v>26</v>
      </c>
      <c r="B13" s="124" t="s">
        <v>54</v>
      </c>
      <c r="C13" s="124" t="s">
        <v>62</v>
      </c>
      <c r="D13" s="124" t="s">
        <v>164</v>
      </c>
      <c r="E13" s="125">
        <v>83412.565384615358</v>
      </c>
      <c r="F13" s="125">
        <v>75468.51153846152</v>
      </c>
      <c r="G13" s="126" t="s">
        <v>194</v>
      </c>
      <c r="H13" s="125">
        <v>49650.336538461524</v>
      </c>
      <c r="I13" s="126" t="s">
        <v>232</v>
      </c>
      <c r="J13" s="125">
        <v>45678.309615384605</v>
      </c>
      <c r="K13" s="126" t="s">
        <v>240</v>
      </c>
      <c r="L13" s="125">
        <v>0</v>
      </c>
      <c r="M13" s="126" t="s">
        <v>187</v>
      </c>
    </row>
    <row r="14" spans="1:13" ht="45" x14ac:dyDescent="0.25">
      <c r="A14" s="124" t="s">
        <v>26</v>
      </c>
      <c r="B14" s="124" t="s">
        <v>54</v>
      </c>
      <c r="C14" s="124" t="s">
        <v>62</v>
      </c>
      <c r="D14" s="124" t="s">
        <v>165</v>
      </c>
      <c r="E14" s="125">
        <v>19860.13461538461</v>
      </c>
      <c r="F14" s="125">
        <v>7944.0538461538445</v>
      </c>
      <c r="G14" s="126" t="s">
        <v>197</v>
      </c>
      <c r="H14" s="125">
        <v>1986.0134615384611</v>
      </c>
      <c r="I14" s="126" t="s">
        <v>234</v>
      </c>
      <c r="J14" s="125">
        <v>0</v>
      </c>
      <c r="K14" s="126" t="s">
        <v>187</v>
      </c>
      <c r="L14" s="125">
        <v>0</v>
      </c>
      <c r="M14" s="126" t="s">
        <v>187</v>
      </c>
    </row>
    <row r="15" spans="1:13" ht="45" x14ac:dyDescent="0.25">
      <c r="A15" s="124" t="s">
        <v>26</v>
      </c>
      <c r="B15" s="124" t="s">
        <v>54</v>
      </c>
      <c r="C15" s="124" t="s">
        <v>64</v>
      </c>
      <c r="D15" s="124" t="s">
        <v>164</v>
      </c>
      <c r="E15" s="125">
        <v>53557.390769230769</v>
      </c>
      <c r="F15" s="125">
        <v>53557.390769230769</v>
      </c>
      <c r="G15" s="126" t="s">
        <v>186</v>
      </c>
      <c r="H15" s="125">
        <v>53557.390769230769</v>
      </c>
      <c r="I15" s="126" t="s">
        <v>186</v>
      </c>
      <c r="J15" s="125">
        <v>53557.390769230769</v>
      </c>
      <c r="K15" s="126" t="s">
        <v>186</v>
      </c>
      <c r="L15" s="125">
        <v>53557.390769230769</v>
      </c>
      <c r="M15" s="126" t="s">
        <v>186</v>
      </c>
    </row>
    <row r="16" spans="1:13" ht="45" x14ac:dyDescent="0.25">
      <c r="A16" s="124" t="s">
        <v>26</v>
      </c>
      <c r="B16" s="124" t="s">
        <v>54</v>
      </c>
      <c r="C16" s="124" t="s">
        <v>64</v>
      </c>
      <c r="D16" s="124" t="s">
        <v>165</v>
      </c>
      <c r="E16" s="125">
        <v>33473.369230769233</v>
      </c>
      <c r="F16" s="125">
        <v>33473.369230769233</v>
      </c>
      <c r="G16" s="126" t="s">
        <v>186</v>
      </c>
      <c r="H16" s="125">
        <v>33473.369230769233</v>
      </c>
      <c r="I16" s="126" t="s">
        <v>186</v>
      </c>
      <c r="J16" s="125">
        <v>33473.369230769233</v>
      </c>
      <c r="K16" s="126" t="s">
        <v>186</v>
      </c>
      <c r="L16" s="125">
        <v>33473.369230769233</v>
      </c>
      <c r="M16" s="126" t="s">
        <v>186</v>
      </c>
    </row>
    <row r="17" spans="1:13" ht="45" x14ac:dyDescent="0.25">
      <c r="A17" s="124" t="s">
        <v>26</v>
      </c>
      <c r="B17" s="124" t="s">
        <v>54</v>
      </c>
      <c r="C17" s="124" t="s">
        <v>71</v>
      </c>
      <c r="D17" s="124" t="s">
        <v>164</v>
      </c>
      <c r="E17" s="125">
        <v>82046.400000000009</v>
      </c>
      <c r="F17" s="125">
        <v>82046.400000000009</v>
      </c>
      <c r="G17" s="126" t="s">
        <v>186</v>
      </c>
      <c r="H17" s="125">
        <v>82046.400000000009</v>
      </c>
      <c r="I17" s="126" t="s">
        <v>186</v>
      </c>
      <c r="J17" s="125">
        <v>82046.400000000009</v>
      </c>
      <c r="K17" s="126" t="s">
        <v>186</v>
      </c>
      <c r="L17" s="125">
        <v>82046.400000000009</v>
      </c>
      <c r="M17" s="126" t="s">
        <v>186</v>
      </c>
    </row>
    <row r="18" spans="1:13" ht="45" x14ac:dyDescent="0.25">
      <c r="A18" s="124" t="s">
        <v>26</v>
      </c>
      <c r="B18" s="124" t="s">
        <v>54</v>
      </c>
      <c r="C18" s="124" t="s">
        <v>75</v>
      </c>
      <c r="D18" s="124" t="s">
        <v>164</v>
      </c>
      <c r="E18" s="125">
        <v>80497.16</v>
      </c>
      <c r="F18" s="125">
        <v>80497.16</v>
      </c>
      <c r="G18" s="126" t="s">
        <v>186</v>
      </c>
      <c r="H18" s="125">
        <v>80497.16</v>
      </c>
      <c r="I18" s="126" t="s">
        <v>186</v>
      </c>
      <c r="J18" s="125">
        <v>80497.16</v>
      </c>
      <c r="K18" s="126" t="s">
        <v>186</v>
      </c>
      <c r="L18" s="125">
        <v>80497.16</v>
      </c>
      <c r="M18" s="126" t="s">
        <v>186</v>
      </c>
    </row>
    <row r="19" spans="1:13" ht="45" x14ac:dyDescent="0.25">
      <c r="A19" s="124" t="s">
        <v>26</v>
      </c>
      <c r="B19" s="124" t="s">
        <v>54</v>
      </c>
      <c r="C19" s="124" t="s">
        <v>81</v>
      </c>
      <c r="D19" s="124" t="s">
        <v>165</v>
      </c>
      <c r="E19" s="125">
        <v>89010.219999999987</v>
      </c>
      <c r="F19" s="125">
        <v>89010.219999999987</v>
      </c>
      <c r="G19" s="126" t="s">
        <v>186</v>
      </c>
      <c r="H19" s="125">
        <v>89010.219999999987</v>
      </c>
      <c r="I19" s="126" t="s">
        <v>186</v>
      </c>
      <c r="J19" s="125">
        <v>89010.219999999987</v>
      </c>
      <c r="K19" s="126" t="s">
        <v>186</v>
      </c>
      <c r="L19" s="125">
        <v>89010.219999999987</v>
      </c>
      <c r="M19" s="126" t="s">
        <v>186</v>
      </c>
    </row>
    <row r="20" spans="1:13" ht="45" x14ac:dyDescent="0.25">
      <c r="A20" s="124" t="s">
        <v>26</v>
      </c>
      <c r="B20" s="124" t="s">
        <v>54</v>
      </c>
      <c r="C20" s="124" t="s">
        <v>85</v>
      </c>
      <c r="D20" s="124" t="s">
        <v>165</v>
      </c>
      <c r="E20" s="125">
        <v>88239.10000000002</v>
      </c>
      <c r="F20" s="125">
        <v>88239.10000000002</v>
      </c>
      <c r="G20" s="126" t="s">
        <v>186</v>
      </c>
      <c r="H20" s="125">
        <v>88239.10000000002</v>
      </c>
      <c r="I20" s="126" t="s">
        <v>186</v>
      </c>
      <c r="J20" s="125">
        <v>88239.10000000002</v>
      </c>
      <c r="K20" s="126" t="s">
        <v>186</v>
      </c>
      <c r="L20" s="125">
        <v>88239.10000000002</v>
      </c>
      <c r="M20" s="126" t="s">
        <v>186</v>
      </c>
    </row>
    <row r="21" spans="1:13" ht="45" x14ac:dyDescent="0.25">
      <c r="A21" s="124" t="s">
        <v>26</v>
      </c>
      <c r="B21" s="124" t="s">
        <v>54</v>
      </c>
      <c r="C21" s="124" t="s">
        <v>86</v>
      </c>
      <c r="D21" s="124" t="s">
        <v>164</v>
      </c>
      <c r="E21" s="125">
        <v>20377.497966666666</v>
      </c>
      <c r="F21" s="125">
        <v>3396.249661111111</v>
      </c>
      <c r="G21" s="126" t="s">
        <v>205</v>
      </c>
      <c r="H21" s="125">
        <v>0</v>
      </c>
      <c r="I21" s="126" t="s">
        <v>187</v>
      </c>
      <c r="J21" s="125">
        <v>0</v>
      </c>
      <c r="K21" s="126" t="s">
        <v>187</v>
      </c>
      <c r="L21" s="125">
        <v>0</v>
      </c>
      <c r="M21" s="126" t="s">
        <v>187</v>
      </c>
    </row>
    <row r="22" spans="1:13" ht="45" x14ac:dyDescent="0.25">
      <c r="A22" s="124" t="s">
        <v>26</v>
      </c>
      <c r="B22" s="124" t="s">
        <v>54</v>
      </c>
      <c r="C22" s="124" t="s">
        <v>86</v>
      </c>
      <c r="D22" s="124" t="s">
        <v>165</v>
      </c>
      <c r="E22" s="125">
        <v>40754.995933333332</v>
      </c>
      <c r="F22" s="125">
        <v>3396.249661111111</v>
      </c>
      <c r="G22" s="126" t="s">
        <v>204</v>
      </c>
      <c r="H22" s="125">
        <v>3396.249661111111</v>
      </c>
      <c r="I22" s="126" t="s">
        <v>204</v>
      </c>
      <c r="J22" s="125">
        <v>0</v>
      </c>
      <c r="K22" s="126" t="s">
        <v>187</v>
      </c>
      <c r="L22" s="125">
        <v>0</v>
      </c>
      <c r="M22" s="126" t="s">
        <v>187</v>
      </c>
    </row>
    <row r="23" spans="1:13" ht="45" x14ac:dyDescent="0.25">
      <c r="A23" s="124" t="s">
        <v>26</v>
      </c>
      <c r="B23" s="124" t="s">
        <v>54</v>
      </c>
      <c r="C23" s="124" t="s">
        <v>88</v>
      </c>
      <c r="D23" s="124" t="s">
        <v>164</v>
      </c>
      <c r="E23" s="125">
        <v>37721.30214</v>
      </c>
      <c r="F23" s="125">
        <v>13621.581328333334</v>
      </c>
      <c r="G23" s="126" t="s">
        <v>206</v>
      </c>
      <c r="H23" s="125">
        <v>12573.767379999999</v>
      </c>
      <c r="I23" s="126" t="s">
        <v>207</v>
      </c>
      <c r="J23" s="125">
        <v>9430.3255349999999</v>
      </c>
      <c r="K23" s="126" t="s">
        <v>208</v>
      </c>
      <c r="L23" s="125">
        <v>0</v>
      </c>
      <c r="M23" s="126" t="s">
        <v>187</v>
      </c>
    </row>
    <row r="24" spans="1:13" ht="45" x14ac:dyDescent="0.25">
      <c r="A24" s="124" t="s">
        <v>26</v>
      </c>
      <c r="B24" s="124" t="s">
        <v>54</v>
      </c>
      <c r="C24" s="124" t="s">
        <v>88</v>
      </c>
      <c r="D24" s="124" t="s">
        <v>165</v>
      </c>
      <c r="E24" s="125">
        <v>25147.534760000002</v>
      </c>
      <c r="F24" s="125">
        <v>0</v>
      </c>
      <c r="G24" s="126" t="s">
        <v>187</v>
      </c>
      <c r="H24" s="125">
        <v>0</v>
      </c>
      <c r="I24" s="126" t="s">
        <v>187</v>
      </c>
      <c r="J24" s="125">
        <v>0</v>
      </c>
      <c r="K24" s="126" t="s">
        <v>187</v>
      </c>
      <c r="L24" s="125">
        <v>0</v>
      </c>
      <c r="M24" s="126" t="s">
        <v>187</v>
      </c>
    </row>
    <row r="25" spans="1:13" ht="45" x14ac:dyDescent="0.25">
      <c r="A25" s="124" t="s">
        <v>26</v>
      </c>
      <c r="B25" s="124" t="s">
        <v>54</v>
      </c>
      <c r="C25" s="124" t="s">
        <v>91</v>
      </c>
      <c r="D25" s="124" t="s">
        <v>164</v>
      </c>
      <c r="E25" s="125">
        <v>51218.906666666669</v>
      </c>
      <c r="F25" s="125">
        <v>0</v>
      </c>
      <c r="G25" s="126" t="s">
        <v>187</v>
      </c>
      <c r="H25" s="125">
        <v>0</v>
      </c>
      <c r="I25" s="126" t="s">
        <v>187</v>
      </c>
      <c r="J25" s="125">
        <v>0</v>
      </c>
      <c r="K25" s="126" t="s">
        <v>187</v>
      </c>
      <c r="L25" s="125">
        <v>0</v>
      </c>
      <c r="M25" s="126" t="s">
        <v>187</v>
      </c>
    </row>
    <row r="26" spans="1:13" ht="45" x14ac:dyDescent="0.25">
      <c r="A26" s="124" t="s">
        <v>26</v>
      </c>
      <c r="B26" s="124" t="s">
        <v>54</v>
      </c>
      <c r="C26" s="124" t="s">
        <v>91</v>
      </c>
      <c r="D26" s="124" t="s">
        <v>165</v>
      </c>
      <c r="E26" s="125">
        <v>25609.453333333335</v>
      </c>
      <c r="F26" s="125">
        <v>0</v>
      </c>
      <c r="G26" s="126" t="s">
        <v>187</v>
      </c>
      <c r="H26" s="125">
        <v>0</v>
      </c>
      <c r="I26" s="126" t="s">
        <v>187</v>
      </c>
      <c r="J26" s="125">
        <v>0</v>
      </c>
      <c r="K26" s="126" t="s">
        <v>187</v>
      </c>
      <c r="L26" s="125">
        <v>0</v>
      </c>
      <c r="M26" s="126" t="s">
        <v>187</v>
      </c>
    </row>
    <row r="27" spans="1:13" x14ac:dyDescent="0.25">
      <c r="A27" s="124" t="s">
        <v>26</v>
      </c>
      <c r="B27" s="124" t="s">
        <v>27</v>
      </c>
      <c r="C27" s="124" t="s">
        <v>28</v>
      </c>
      <c r="D27" s="124" t="s">
        <v>30</v>
      </c>
      <c r="E27" s="125">
        <v>97562.592391304293</v>
      </c>
      <c r="F27" s="125">
        <v>95153.639492753573</v>
      </c>
      <c r="G27" s="126" t="s">
        <v>246</v>
      </c>
      <c r="H27" s="125">
        <v>95153.639492753573</v>
      </c>
      <c r="I27" s="126" t="s">
        <v>246</v>
      </c>
      <c r="J27" s="125">
        <v>95153.639492753573</v>
      </c>
      <c r="K27" s="126" t="s">
        <v>246</v>
      </c>
      <c r="L27" s="125">
        <v>0</v>
      </c>
      <c r="M27" s="126" t="s">
        <v>187</v>
      </c>
    </row>
    <row r="28" spans="1:13" ht="45" x14ac:dyDescent="0.25">
      <c r="A28" s="124" t="s">
        <v>26</v>
      </c>
      <c r="B28" s="124" t="s">
        <v>27</v>
      </c>
      <c r="C28" s="124" t="s">
        <v>96</v>
      </c>
      <c r="D28" s="124" t="s">
        <v>32</v>
      </c>
      <c r="E28" s="125">
        <v>7161.8114376280319</v>
      </c>
      <c r="F28" s="125">
        <v>7161.8114376280319</v>
      </c>
      <c r="G28" s="126" t="s">
        <v>186</v>
      </c>
      <c r="H28" s="125">
        <v>7161.8114376280319</v>
      </c>
      <c r="I28" s="126" t="s">
        <v>186</v>
      </c>
      <c r="J28" s="125">
        <v>7161.8114376280319</v>
      </c>
      <c r="K28" s="126" t="s">
        <v>186</v>
      </c>
      <c r="L28" s="125">
        <v>7161.8114376280319</v>
      </c>
      <c r="M28" s="126" t="s">
        <v>186</v>
      </c>
    </row>
    <row r="29" spans="1:13" x14ac:dyDescent="0.25">
      <c r="A29" s="124" t="s">
        <v>26</v>
      </c>
      <c r="B29" s="124" t="s">
        <v>27</v>
      </c>
      <c r="C29" s="124" t="s">
        <v>31</v>
      </c>
      <c r="D29" s="124" t="s">
        <v>33</v>
      </c>
      <c r="E29" s="125">
        <v>108361.32088237196</v>
      </c>
      <c r="F29" s="125">
        <v>108361.32088237196</v>
      </c>
      <c r="G29" s="126" t="s">
        <v>186</v>
      </c>
      <c r="H29" s="125">
        <v>108361.32088237196</v>
      </c>
      <c r="I29" s="126" t="s">
        <v>186</v>
      </c>
      <c r="J29" s="125">
        <v>108361.32088237196</v>
      </c>
      <c r="K29" s="126" t="s">
        <v>186</v>
      </c>
      <c r="L29" s="125">
        <v>108361.32088237196</v>
      </c>
      <c r="M29" s="126" t="s">
        <v>186</v>
      </c>
    </row>
    <row r="30" spans="1:13" ht="45" x14ac:dyDescent="0.25">
      <c r="A30" s="124" t="s">
        <v>26</v>
      </c>
      <c r="B30" s="124" t="s">
        <v>27</v>
      </c>
      <c r="C30" s="124" t="s">
        <v>97</v>
      </c>
      <c r="D30" s="124" t="s">
        <v>35</v>
      </c>
      <c r="E30" s="125">
        <v>28819.23</v>
      </c>
      <c r="F30" s="125">
        <v>28819.23</v>
      </c>
      <c r="G30" s="126" t="s">
        <v>186</v>
      </c>
      <c r="H30" s="125">
        <v>28819.23</v>
      </c>
      <c r="I30" s="126" t="s">
        <v>186</v>
      </c>
      <c r="J30" s="125">
        <v>28819.23</v>
      </c>
      <c r="K30" s="126" t="s">
        <v>186</v>
      </c>
      <c r="L30" s="125">
        <v>28819.23</v>
      </c>
      <c r="M30" s="126" t="s">
        <v>186</v>
      </c>
    </row>
    <row r="31" spans="1:13" x14ac:dyDescent="0.25">
      <c r="A31" s="124" t="s">
        <v>26</v>
      </c>
      <c r="B31" s="124" t="s">
        <v>27</v>
      </c>
      <c r="C31" s="124" t="s">
        <v>34</v>
      </c>
      <c r="D31" s="124" t="s">
        <v>36</v>
      </c>
      <c r="E31" s="125">
        <v>41918.879999999997</v>
      </c>
      <c r="F31" s="125">
        <v>41918.879999999997</v>
      </c>
      <c r="G31" s="126" t="s">
        <v>186</v>
      </c>
      <c r="H31" s="125">
        <v>41918.879999999997</v>
      </c>
      <c r="I31" s="126" t="s">
        <v>186</v>
      </c>
      <c r="J31" s="125">
        <v>41918.879999999997</v>
      </c>
      <c r="K31" s="126" t="s">
        <v>186</v>
      </c>
      <c r="L31" s="125">
        <v>41918.879999999997</v>
      </c>
      <c r="M31" s="126" t="s">
        <v>186</v>
      </c>
    </row>
    <row r="32" spans="1:13" ht="45" x14ac:dyDescent="0.25">
      <c r="A32" s="124" t="s">
        <v>26</v>
      </c>
      <c r="B32" s="124" t="s">
        <v>27</v>
      </c>
      <c r="C32" s="124" t="s">
        <v>154</v>
      </c>
      <c r="D32" s="124" t="s">
        <v>155</v>
      </c>
      <c r="E32" s="125">
        <v>68655.157608695605</v>
      </c>
      <c r="F32" s="125">
        <v>68655.157608695605</v>
      </c>
      <c r="G32" s="126" t="s">
        <v>186</v>
      </c>
      <c r="H32" s="125">
        <v>68655.157608695605</v>
      </c>
      <c r="I32" s="126" t="s">
        <v>186</v>
      </c>
      <c r="J32" s="125">
        <v>68655.157608695605</v>
      </c>
      <c r="K32" s="126" t="s">
        <v>186</v>
      </c>
      <c r="L32" s="125">
        <v>68655.157608695605</v>
      </c>
      <c r="M32" s="126" t="s">
        <v>186</v>
      </c>
    </row>
    <row r="33" spans="1:13" x14ac:dyDescent="0.25">
      <c r="A33" s="124" t="s">
        <v>26</v>
      </c>
      <c r="B33" s="124" t="s">
        <v>37</v>
      </c>
      <c r="C33" s="124" t="s">
        <v>38</v>
      </c>
      <c r="D33" s="124" t="s">
        <v>30</v>
      </c>
      <c r="E33" s="125">
        <v>202798.24999999991</v>
      </c>
      <c r="F33" s="125">
        <v>202798.24999999991</v>
      </c>
      <c r="G33" s="126" t="s">
        <v>186</v>
      </c>
      <c r="H33" s="125">
        <v>202798.24999999991</v>
      </c>
      <c r="I33" s="126" t="s">
        <v>186</v>
      </c>
      <c r="J33" s="125">
        <v>202798.24999999991</v>
      </c>
      <c r="K33" s="126" t="s">
        <v>186</v>
      </c>
      <c r="L33" s="125">
        <v>202798.24999999991</v>
      </c>
      <c r="M33" s="126" t="s">
        <v>186</v>
      </c>
    </row>
    <row r="34" spans="1:13" ht="45" x14ac:dyDescent="0.25">
      <c r="A34" s="124" t="s">
        <v>26</v>
      </c>
      <c r="B34" s="124" t="s">
        <v>37</v>
      </c>
      <c r="C34" s="124" t="s">
        <v>98</v>
      </c>
      <c r="D34" s="124" t="s">
        <v>40</v>
      </c>
      <c r="E34" s="125">
        <v>14225.697777777767</v>
      </c>
      <c r="F34" s="125">
        <v>14225.697777777767</v>
      </c>
      <c r="G34" s="126" t="s">
        <v>186</v>
      </c>
      <c r="H34" s="125">
        <v>14225.697777777767</v>
      </c>
      <c r="I34" s="126" t="s">
        <v>186</v>
      </c>
      <c r="J34" s="125">
        <v>14225.697777777767</v>
      </c>
      <c r="K34" s="126" t="s">
        <v>186</v>
      </c>
      <c r="L34" s="125">
        <v>14225.697777777767</v>
      </c>
      <c r="M34" s="126" t="s">
        <v>186</v>
      </c>
    </row>
    <row r="35" spans="1:13" x14ac:dyDescent="0.25">
      <c r="A35" s="124" t="s">
        <v>26</v>
      </c>
      <c r="B35" s="124" t="s">
        <v>37</v>
      </c>
      <c r="C35" s="124" t="s">
        <v>39</v>
      </c>
      <c r="D35" s="124" t="s">
        <v>41</v>
      </c>
      <c r="E35" s="125">
        <v>33786.032222222195</v>
      </c>
      <c r="F35" s="125">
        <v>33786.032222222195</v>
      </c>
      <c r="G35" s="126" t="s">
        <v>186</v>
      </c>
      <c r="H35" s="125">
        <v>33786.032222222195</v>
      </c>
      <c r="I35" s="126" t="s">
        <v>186</v>
      </c>
      <c r="J35" s="125">
        <v>33786.032222222195</v>
      </c>
      <c r="K35" s="126" t="s">
        <v>186</v>
      </c>
      <c r="L35" s="125">
        <v>33786.032222222195</v>
      </c>
      <c r="M35" s="126" t="s">
        <v>186</v>
      </c>
    </row>
    <row r="36" spans="1:13" x14ac:dyDescent="0.25">
      <c r="A36" s="124" t="s">
        <v>26</v>
      </c>
      <c r="B36" s="124" t="s">
        <v>48</v>
      </c>
      <c r="C36" s="124" t="s">
        <v>50</v>
      </c>
      <c r="D36" s="124" t="s">
        <v>30</v>
      </c>
      <c r="E36" s="125">
        <v>197930.57800000015</v>
      </c>
      <c r="F36" s="125">
        <v>197930.57800000015</v>
      </c>
      <c r="G36" s="126" t="s">
        <v>186</v>
      </c>
      <c r="H36" s="125">
        <v>197930.57800000015</v>
      </c>
      <c r="I36" s="126" t="s">
        <v>186</v>
      </c>
      <c r="J36" s="125">
        <v>197930.57800000015</v>
      </c>
      <c r="K36" s="126" t="s">
        <v>186</v>
      </c>
      <c r="L36" s="125">
        <v>197930.57800000015</v>
      </c>
      <c r="M36" s="126" t="s">
        <v>186</v>
      </c>
    </row>
    <row r="37" spans="1:13" ht="45" x14ac:dyDescent="0.25">
      <c r="A37" s="124" t="s">
        <v>26</v>
      </c>
      <c r="B37" s="124" t="s">
        <v>48</v>
      </c>
      <c r="C37" s="124" t="s">
        <v>99</v>
      </c>
      <c r="D37" s="124" t="s">
        <v>40</v>
      </c>
      <c r="E37" s="125">
        <v>48039.180472087894</v>
      </c>
      <c r="F37" s="125">
        <v>48039.180472087894</v>
      </c>
      <c r="G37" s="126" t="s">
        <v>186</v>
      </c>
      <c r="H37" s="125">
        <v>48039.180472087894</v>
      </c>
      <c r="I37" s="126" t="s">
        <v>186</v>
      </c>
      <c r="J37" s="125">
        <v>48039.180472087894</v>
      </c>
      <c r="K37" s="126" t="s">
        <v>186</v>
      </c>
      <c r="L37" s="125">
        <v>48039.180472087894</v>
      </c>
      <c r="M37" s="126" t="s">
        <v>186</v>
      </c>
    </row>
    <row r="38" spans="1:13" x14ac:dyDescent="0.25">
      <c r="A38" s="124" t="s">
        <v>26</v>
      </c>
      <c r="B38" s="124" t="s">
        <v>48</v>
      </c>
      <c r="C38" s="124" t="s">
        <v>49</v>
      </c>
      <c r="D38" s="124" t="s">
        <v>41</v>
      </c>
      <c r="E38" s="125">
        <v>113870.65000791205</v>
      </c>
      <c r="F38" s="125">
        <v>113870.65000791205</v>
      </c>
      <c r="G38" s="126" t="s">
        <v>186</v>
      </c>
      <c r="H38" s="125">
        <v>113870.65000791205</v>
      </c>
      <c r="I38" s="126" t="s">
        <v>186</v>
      </c>
      <c r="J38" s="125">
        <v>113870.65000791205</v>
      </c>
      <c r="K38" s="126" t="s">
        <v>186</v>
      </c>
      <c r="L38" s="125">
        <v>113870.65000791205</v>
      </c>
      <c r="M38" s="126" t="s">
        <v>186</v>
      </c>
    </row>
    <row r="39" spans="1:13" x14ac:dyDescent="0.25">
      <c r="A39" s="124" t="s">
        <v>26</v>
      </c>
      <c r="B39" s="124" t="s">
        <v>48</v>
      </c>
      <c r="C39" s="124" t="s">
        <v>53</v>
      </c>
      <c r="D39" s="124" t="s">
        <v>30</v>
      </c>
      <c r="E39" s="125">
        <v>38583.482900000025</v>
      </c>
      <c r="F39" s="125">
        <v>38583.482900000025</v>
      </c>
      <c r="G39" s="126" t="s">
        <v>186</v>
      </c>
      <c r="H39" s="125">
        <v>38583.482900000025</v>
      </c>
      <c r="I39" s="126" t="s">
        <v>186</v>
      </c>
      <c r="J39" s="125">
        <v>38583.482900000025</v>
      </c>
      <c r="K39" s="126" t="s">
        <v>186</v>
      </c>
      <c r="L39" s="125">
        <v>38583.482900000025</v>
      </c>
      <c r="M39" s="126" t="s">
        <v>186</v>
      </c>
    </row>
    <row r="40" spans="1:13" x14ac:dyDescent="0.25">
      <c r="A40" s="124" t="s">
        <v>26</v>
      </c>
      <c r="B40" s="124" t="s">
        <v>42</v>
      </c>
      <c r="C40" s="124" t="s">
        <v>43</v>
      </c>
      <c r="D40" s="124" t="s">
        <v>30</v>
      </c>
      <c r="E40" s="125">
        <v>117331.45999999999</v>
      </c>
      <c r="F40" s="125">
        <v>117331.45999999999</v>
      </c>
      <c r="G40" s="126" t="s">
        <v>186</v>
      </c>
      <c r="H40" s="125">
        <v>117331.45999999999</v>
      </c>
      <c r="I40" s="126" t="s">
        <v>186</v>
      </c>
      <c r="J40" s="125">
        <v>117331.45999999999</v>
      </c>
      <c r="K40" s="126" t="s">
        <v>186</v>
      </c>
      <c r="L40" s="125">
        <v>117331.45999999999</v>
      </c>
      <c r="M40" s="126" t="s">
        <v>186</v>
      </c>
    </row>
    <row r="41" spans="1:13" ht="45" x14ac:dyDescent="0.25">
      <c r="A41" s="124" t="s">
        <v>26</v>
      </c>
      <c r="B41" s="124" t="s">
        <v>42</v>
      </c>
      <c r="C41" s="124" t="s">
        <v>100</v>
      </c>
      <c r="D41" s="124" t="s">
        <v>40</v>
      </c>
      <c r="E41" s="125">
        <v>31371.858461538464</v>
      </c>
      <c r="F41" s="125">
        <v>31371.858461538464</v>
      </c>
      <c r="G41" s="126" t="s">
        <v>186</v>
      </c>
      <c r="H41" s="125">
        <v>31371.858461538464</v>
      </c>
      <c r="I41" s="126" t="s">
        <v>186</v>
      </c>
      <c r="J41" s="125">
        <v>31371.858461538464</v>
      </c>
      <c r="K41" s="126" t="s">
        <v>186</v>
      </c>
      <c r="L41" s="125">
        <v>31371.858461538464</v>
      </c>
      <c r="M41" s="126" t="s">
        <v>186</v>
      </c>
    </row>
    <row r="42" spans="1:13" x14ac:dyDescent="0.25">
      <c r="A42" s="124" t="s">
        <v>26</v>
      </c>
      <c r="B42" s="124" t="s">
        <v>42</v>
      </c>
      <c r="C42" s="124" t="s">
        <v>44</v>
      </c>
      <c r="D42" s="124" t="s">
        <v>41</v>
      </c>
      <c r="E42" s="125">
        <v>53593.591538461544</v>
      </c>
      <c r="F42" s="125">
        <v>53593.591538461544</v>
      </c>
      <c r="G42" s="126" t="s">
        <v>186</v>
      </c>
      <c r="H42" s="125">
        <v>53593.591538461544</v>
      </c>
      <c r="I42" s="126" t="s">
        <v>186</v>
      </c>
      <c r="J42" s="125">
        <v>53593.591538461544</v>
      </c>
      <c r="K42" s="126" t="s">
        <v>186</v>
      </c>
      <c r="L42" s="125">
        <v>53593.591538461544</v>
      </c>
      <c r="M42" s="126" t="s">
        <v>186</v>
      </c>
    </row>
    <row r="43" spans="1:13" ht="45" x14ac:dyDescent="0.25">
      <c r="A43" s="124" t="s">
        <v>26</v>
      </c>
      <c r="B43" s="124" t="s">
        <v>42</v>
      </c>
      <c r="C43" s="124" t="s">
        <v>156</v>
      </c>
      <c r="D43" s="124" t="s">
        <v>157</v>
      </c>
      <c r="E43" s="125">
        <v>18310.153273878263</v>
      </c>
      <c r="F43" s="125">
        <v>18310.153273878263</v>
      </c>
      <c r="G43" s="126" t="s">
        <v>186</v>
      </c>
      <c r="H43" s="125">
        <v>18310.153273878263</v>
      </c>
      <c r="I43" s="126" t="s">
        <v>186</v>
      </c>
      <c r="J43" s="125">
        <v>18310.153273878263</v>
      </c>
      <c r="K43" s="126" t="s">
        <v>186</v>
      </c>
      <c r="L43" s="125">
        <v>18310.153273878263</v>
      </c>
      <c r="M43" s="126" t="s">
        <v>186</v>
      </c>
    </row>
    <row r="44" spans="1:13" x14ac:dyDescent="0.25">
      <c r="A44" s="124" t="s">
        <v>26</v>
      </c>
      <c r="B44" s="124" t="s">
        <v>42</v>
      </c>
      <c r="C44" s="124" t="s">
        <v>45</v>
      </c>
      <c r="D44" s="124" t="s">
        <v>46</v>
      </c>
      <c r="E44" s="125">
        <v>26811.295865321739</v>
      </c>
      <c r="F44" s="125">
        <v>26811.295865321739</v>
      </c>
      <c r="G44" s="126" t="s">
        <v>186</v>
      </c>
      <c r="H44" s="125">
        <v>26811.295865321739</v>
      </c>
      <c r="I44" s="126" t="s">
        <v>186</v>
      </c>
      <c r="J44" s="125">
        <v>26811.295865321739</v>
      </c>
      <c r="K44" s="126" t="s">
        <v>186</v>
      </c>
      <c r="L44" s="125">
        <v>26811.295865321739</v>
      </c>
      <c r="M44" s="126" t="s">
        <v>186</v>
      </c>
    </row>
    <row r="45" spans="1:13" x14ac:dyDescent="0.25">
      <c r="A45" s="124" t="s">
        <v>26</v>
      </c>
      <c r="B45" s="124" t="s">
        <v>42</v>
      </c>
      <c r="C45" s="124" t="s">
        <v>92</v>
      </c>
      <c r="D45" s="124" t="s">
        <v>30</v>
      </c>
      <c r="E45" s="125">
        <v>19379.126958333338</v>
      </c>
      <c r="F45" s="125">
        <v>19379.126958333338</v>
      </c>
      <c r="G45" s="126" t="s">
        <v>186</v>
      </c>
      <c r="H45" s="125">
        <v>19379.126958333338</v>
      </c>
      <c r="I45" s="126" t="s">
        <v>186</v>
      </c>
      <c r="J45" s="125">
        <v>19379.126958333338</v>
      </c>
      <c r="K45" s="126" t="s">
        <v>186</v>
      </c>
      <c r="L45" s="125">
        <v>19379.126958333338</v>
      </c>
      <c r="M45" s="126" t="s">
        <v>186</v>
      </c>
    </row>
    <row r="46" spans="1:13" x14ac:dyDescent="0.25">
      <c r="A46" s="124" t="s">
        <v>26</v>
      </c>
      <c r="B46" s="124" t="s">
        <v>42</v>
      </c>
      <c r="C46" s="124" t="s">
        <v>158</v>
      </c>
      <c r="D46" s="124" t="s">
        <v>30</v>
      </c>
      <c r="E46" s="125">
        <v>3875.8253916666677</v>
      </c>
      <c r="F46" s="125">
        <v>3875.8253916666677</v>
      </c>
      <c r="G46" s="126" t="s">
        <v>186</v>
      </c>
      <c r="H46" s="125">
        <v>3875.8253916666677</v>
      </c>
      <c r="I46" s="126" t="s">
        <v>186</v>
      </c>
      <c r="J46" s="125">
        <v>3875.8253916666677</v>
      </c>
      <c r="K46" s="126" t="s">
        <v>186</v>
      </c>
      <c r="L46" s="125">
        <v>3875.8253916666677</v>
      </c>
      <c r="M46" s="126" t="s">
        <v>186</v>
      </c>
    </row>
    <row r="47" spans="1:13" x14ac:dyDescent="0.25">
      <c r="A47" s="124" t="s">
        <v>26</v>
      </c>
      <c r="B47" s="124" t="s">
        <v>47</v>
      </c>
      <c r="C47" s="124" t="s">
        <v>47</v>
      </c>
      <c r="D47" s="124" t="s">
        <v>30</v>
      </c>
      <c r="E47" s="125">
        <v>231366.75872000019</v>
      </c>
      <c r="F47" s="125">
        <v>231366.75872000019</v>
      </c>
      <c r="G47" s="126" t="s">
        <v>186</v>
      </c>
      <c r="H47" s="125">
        <v>231366.75872000019</v>
      </c>
      <c r="I47" s="126" t="s">
        <v>186</v>
      </c>
      <c r="J47" s="125">
        <v>231366.75872000019</v>
      </c>
      <c r="K47" s="126" t="s">
        <v>186</v>
      </c>
      <c r="L47" s="125">
        <v>231366.75872000019</v>
      </c>
      <c r="M47" s="126" t="s">
        <v>186</v>
      </c>
    </row>
    <row r="48" spans="1:13" ht="45" x14ac:dyDescent="0.25">
      <c r="A48" s="124" t="s">
        <v>26</v>
      </c>
      <c r="B48" s="124" t="s">
        <v>51</v>
      </c>
      <c r="C48" s="124" t="s">
        <v>73</v>
      </c>
      <c r="D48" s="124" t="s">
        <v>159</v>
      </c>
      <c r="E48" s="125">
        <v>48467.366153846124</v>
      </c>
      <c r="F48" s="125">
        <v>48467.366153846124</v>
      </c>
      <c r="G48" s="126" t="s">
        <v>186</v>
      </c>
      <c r="H48" s="125">
        <v>48467.366153846124</v>
      </c>
      <c r="I48" s="126" t="s">
        <v>186</v>
      </c>
      <c r="J48" s="125">
        <v>48467.366153846124</v>
      </c>
      <c r="K48" s="126" t="s">
        <v>186</v>
      </c>
      <c r="L48" s="125">
        <v>48467.366153846124</v>
      </c>
      <c r="M48" s="126" t="s">
        <v>186</v>
      </c>
    </row>
    <row r="49" spans="1:13" ht="45" x14ac:dyDescent="0.25">
      <c r="A49" s="124" t="s">
        <v>26</v>
      </c>
      <c r="B49" s="124" t="s">
        <v>51</v>
      </c>
      <c r="C49" s="124" t="s">
        <v>73</v>
      </c>
      <c r="D49" s="124" t="s">
        <v>160</v>
      </c>
      <c r="E49" s="125">
        <v>37063.279999999977</v>
      </c>
      <c r="F49" s="125">
        <v>25659.19384615383</v>
      </c>
      <c r="G49" s="126" t="s">
        <v>192</v>
      </c>
      <c r="H49" s="125">
        <v>25659.19384615383</v>
      </c>
      <c r="I49" s="126" t="s">
        <v>192</v>
      </c>
      <c r="J49" s="125">
        <v>22808.172307692294</v>
      </c>
      <c r="K49" s="126" t="s">
        <v>193</v>
      </c>
      <c r="L49" s="125">
        <v>0</v>
      </c>
      <c r="M49" s="126" t="s">
        <v>187</v>
      </c>
    </row>
    <row r="50" spans="1:13" ht="45" x14ac:dyDescent="0.25">
      <c r="A50" s="124" t="s">
        <v>26</v>
      </c>
      <c r="B50" s="124" t="s">
        <v>51</v>
      </c>
      <c r="C50" s="124" t="s">
        <v>73</v>
      </c>
      <c r="D50" s="124" t="s">
        <v>161</v>
      </c>
      <c r="E50" s="125">
        <v>2851.0215384615367</v>
      </c>
      <c r="F50" s="125">
        <v>2851.0215384615367</v>
      </c>
      <c r="G50" s="126" t="s">
        <v>186</v>
      </c>
      <c r="H50" s="125">
        <v>2851.0215384615367</v>
      </c>
      <c r="I50" s="126" t="s">
        <v>186</v>
      </c>
      <c r="J50" s="125">
        <v>0</v>
      </c>
      <c r="K50" s="126" t="s">
        <v>187</v>
      </c>
      <c r="L50" s="125">
        <v>0</v>
      </c>
      <c r="M50" s="126" t="s">
        <v>187</v>
      </c>
    </row>
    <row r="51" spans="1:13" ht="45" x14ac:dyDescent="0.25">
      <c r="A51" s="124" t="s">
        <v>26</v>
      </c>
      <c r="B51" s="124" t="s">
        <v>51</v>
      </c>
      <c r="C51" s="124" t="s">
        <v>72</v>
      </c>
      <c r="D51" s="124" t="s">
        <v>159</v>
      </c>
      <c r="E51" s="125">
        <v>56297.169999999955</v>
      </c>
      <c r="F51" s="125">
        <v>56297.169999999955</v>
      </c>
      <c r="G51" s="126" t="s">
        <v>186</v>
      </c>
      <c r="H51" s="125">
        <v>56297.169999999955</v>
      </c>
      <c r="I51" s="126" t="s">
        <v>186</v>
      </c>
      <c r="J51" s="125">
        <v>56297.169999999955</v>
      </c>
      <c r="K51" s="126" t="s">
        <v>186</v>
      </c>
      <c r="L51" s="125">
        <v>56297.169999999955</v>
      </c>
      <c r="M51" s="126" t="s">
        <v>186</v>
      </c>
    </row>
    <row r="52" spans="1:13" ht="45" x14ac:dyDescent="0.25">
      <c r="A52" s="124" t="s">
        <v>26</v>
      </c>
      <c r="B52" s="124" t="s">
        <v>51</v>
      </c>
      <c r="C52" s="124" t="s">
        <v>72</v>
      </c>
      <c r="D52" s="124" t="s">
        <v>160</v>
      </c>
      <c r="E52" s="125">
        <v>56297.169999999955</v>
      </c>
      <c r="F52" s="125">
        <v>56297.169999999955</v>
      </c>
      <c r="G52" s="126" t="s">
        <v>186</v>
      </c>
      <c r="H52" s="125">
        <v>56297.169999999955</v>
      </c>
      <c r="I52" s="126" t="s">
        <v>186</v>
      </c>
      <c r="J52" s="125">
        <v>56297.169999999955</v>
      </c>
      <c r="K52" s="126" t="s">
        <v>186</v>
      </c>
      <c r="L52" s="125">
        <v>56297.169999999955</v>
      </c>
      <c r="M52" s="126" t="s">
        <v>186</v>
      </c>
    </row>
    <row r="53" spans="1:13" ht="45" x14ac:dyDescent="0.25">
      <c r="A53" s="124" t="s">
        <v>26</v>
      </c>
      <c r="B53" s="124" t="s">
        <v>51</v>
      </c>
      <c r="C53" s="124" t="s">
        <v>69</v>
      </c>
      <c r="D53" s="124" t="s">
        <v>159</v>
      </c>
      <c r="E53" s="125">
        <v>51802.619999999923</v>
      </c>
      <c r="F53" s="125">
        <v>51802.619999999923</v>
      </c>
      <c r="G53" s="126" t="s">
        <v>186</v>
      </c>
      <c r="H53" s="125">
        <v>51802.619999999923</v>
      </c>
      <c r="I53" s="126" t="s">
        <v>186</v>
      </c>
      <c r="J53" s="125">
        <v>51802.619999999923</v>
      </c>
      <c r="K53" s="126" t="s">
        <v>186</v>
      </c>
      <c r="L53" s="125">
        <v>51802.619999999923</v>
      </c>
      <c r="M53" s="126" t="s">
        <v>186</v>
      </c>
    </row>
    <row r="54" spans="1:13" ht="45" x14ac:dyDescent="0.25">
      <c r="A54" s="124" t="s">
        <v>26</v>
      </c>
      <c r="B54" s="124" t="s">
        <v>51</v>
      </c>
      <c r="C54" s="124" t="s">
        <v>69</v>
      </c>
      <c r="D54" s="124" t="s">
        <v>160</v>
      </c>
      <c r="E54" s="125">
        <v>51802.619999999923</v>
      </c>
      <c r="F54" s="125">
        <v>51802.619999999923</v>
      </c>
      <c r="G54" s="126" t="s">
        <v>186</v>
      </c>
      <c r="H54" s="125">
        <v>51802.619999999923</v>
      </c>
      <c r="I54" s="126" t="s">
        <v>186</v>
      </c>
      <c r="J54" s="125">
        <v>51802.619999999923</v>
      </c>
      <c r="K54" s="126" t="s">
        <v>186</v>
      </c>
      <c r="L54" s="125">
        <v>51802.619999999923</v>
      </c>
      <c r="M54" s="126" t="s">
        <v>186</v>
      </c>
    </row>
    <row r="55" spans="1:13" ht="45" x14ac:dyDescent="0.25">
      <c r="A55" s="124" t="s">
        <v>26</v>
      </c>
      <c r="B55" s="124" t="s">
        <v>51</v>
      </c>
      <c r="C55" s="124" t="s">
        <v>68</v>
      </c>
      <c r="D55" s="124" t="s">
        <v>159</v>
      </c>
      <c r="E55" s="125">
        <v>89929.743749999994</v>
      </c>
      <c r="F55" s="125">
        <v>89929.743749999994</v>
      </c>
      <c r="G55" s="126" t="s">
        <v>186</v>
      </c>
      <c r="H55" s="125">
        <v>89929.743749999994</v>
      </c>
      <c r="I55" s="126" t="s">
        <v>186</v>
      </c>
      <c r="J55" s="125">
        <v>89929.743749999994</v>
      </c>
      <c r="K55" s="126" t="s">
        <v>186</v>
      </c>
      <c r="L55" s="125">
        <v>89929.743749999994</v>
      </c>
      <c r="M55" s="126" t="s">
        <v>186</v>
      </c>
    </row>
    <row r="56" spans="1:13" ht="45" x14ac:dyDescent="0.25">
      <c r="A56" s="124" t="s">
        <v>26</v>
      </c>
      <c r="B56" s="124" t="s">
        <v>51</v>
      </c>
      <c r="C56" s="124" t="s">
        <v>68</v>
      </c>
      <c r="D56" s="124" t="s">
        <v>160</v>
      </c>
      <c r="E56" s="125">
        <v>5995.3162499999999</v>
      </c>
      <c r="F56" s="125">
        <v>5995.3162499999999</v>
      </c>
      <c r="G56" s="126" t="s">
        <v>186</v>
      </c>
      <c r="H56" s="125">
        <v>5995.3162499999999</v>
      </c>
      <c r="I56" s="126" t="s">
        <v>186</v>
      </c>
      <c r="J56" s="125">
        <v>5995.3162499999999</v>
      </c>
      <c r="K56" s="126" t="s">
        <v>186</v>
      </c>
      <c r="L56" s="125">
        <v>5995.3162499999999</v>
      </c>
      <c r="M56" s="126" t="s">
        <v>186</v>
      </c>
    </row>
    <row r="57" spans="1:13" ht="45" x14ac:dyDescent="0.25">
      <c r="A57" s="124" t="s">
        <v>26</v>
      </c>
      <c r="B57" s="124" t="s">
        <v>51</v>
      </c>
      <c r="C57" s="124" t="s">
        <v>60</v>
      </c>
      <c r="D57" s="124" t="s">
        <v>159</v>
      </c>
      <c r="E57" s="125">
        <v>84125.098536585356</v>
      </c>
      <c r="F57" s="125">
        <v>84125.098536585356</v>
      </c>
      <c r="G57" s="126" t="s">
        <v>186</v>
      </c>
      <c r="H57" s="125">
        <v>84125.098536585356</v>
      </c>
      <c r="I57" s="126" t="s">
        <v>186</v>
      </c>
      <c r="J57" s="125">
        <v>84125.098536585356</v>
      </c>
      <c r="K57" s="126" t="s">
        <v>186</v>
      </c>
      <c r="L57" s="125">
        <v>84125.098536585356</v>
      </c>
      <c r="M57" s="126" t="s">
        <v>186</v>
      </c>
    </row>
    <row r="58" spans="1:13" ht="45" x14ac:dyDescent="0.25">
      <c r="A58" s="124" t="s">
        <v>26</v>
      </c>
      <c r="B58" s="124" t="s">
        <v>51</v>
      </c>
      <c r="C58" s="124" t="s">
        <v>60</v>
      </c>
      <c r="D58" s="124" t="s">
        <v>160</v>
      </c>
      <c r="E58" s="125">
        <v>11684.041463414633</v>
      </c>
      <c r="F58" s="125">
        <v>11684.041463414633</v>
      </c>
      <c r="G58" s="126" t="s">
        <v>186</v>
      </c>
      <c r="H58" s="125">
        <v>11684.041463414633</v>
      </c>
      <c r="I58" s="126" t="s">
        <v>186</v>
      </c>
      <c r="J58" s="125">
        <v>11684.041463414633</v>
      </c>
      <c r="K58" s="126" t="s">
        <v>186</v>
      </c>
      <c r="L58" s="125">
        <v>11684.041463414633</v>
      </c>
      <c r="M58" s="126" t="s">
        <v>186</v>
      </c>
    </row>
    <row r="59" spans="1:13" ht="45" x14ac:dyDescent="0.25">
      <c r="A59" s="124" t="s">
        <v>26</v>
      </c>
      <c r="B59" s="124" t="s">
        <v>51</v>
      </c>
      <c r="C59" s="124" t="s">
        <v>57</v>
      </c>
      <c r="D59" s="124" t="s">
        <v>159</v>
      </c>
      <c r="E59" s="125">
        <v>92753.886822227039</v>
      </c>
      <c r="F59" s="125">
        <v>92753.886822227039</v>
      </c>
      <c r="G59" s="126" t="s">
        <v>186</v>
      </c>
      <c r="H59" s="125">
        <v>92753.886822227039</v>
      </c>
      <c r="I59" s="126" t="s">
        <v>186</v>
      </c>
      <c r="J59" s="125">
        <v>92753.886822227039</v>
      </c>
      <c r="K59" s="126" t="s">
        <v>186</v>
      </c>
      <c r="L59" s="125">
        <v>92753.886822227039</v>
      </c>
      <c r="M59" s="126" t="s">
        <v>186</v>
      </c>
    </row>
    <row r="60" spans="1:13" ht="45" x14ac:dyDescent="0.25">
      <c r="A60" s="124" t="s">
        <v>26</v>
      </c>
      <c r="B60" s="124" t="s">
        <v>51</v>
      </c>
      <c r="C60" s="124" t="s">
        <v>57</v>
      </c>
      <c r="D60" s="124" t="s">
        <v>160</v>
      </c>
      <c r="E60" s="125">
        <v>2576.4968561729734</v>
      </c>
      <c r="F60" s="125">
        <v>2576.4968561729734</v>
      </c>
      <c r="G60" s="126" t="s">
        <v>186</v>
      </c>
      <c r="H60" s="125">
        <v>2576.4968561729734</v>
      </c>
      <c r="I60" s="126" t="s">
        <v>186</v>
      </c>
      <c r="J60" s="125">
        <v>2576.4968561729734</v>
      </c>
      <c r="K60" s="126" t="s">
        <v>186</v>
      </c>
      <c r="L60" s="125">
        <v>2576.4968561729734</v>
      </c>
      <c r="M60" s="126" t="s">
        <v>186</v>
      </c>
    </row>
    <row r="61" spans="1:13" ht="45" x14ac:dyDescent="0.25">
      <c r="A61" s="124" t="s">
        <v>26</v>
      </c>
      <c r="B61" s="124" t="s">
        <v>51</v>
      </c>
      <c r="C61" s="124" t="s">
        <v>55</v>
      </c>
      <c r="D61" s="124" t="s">
        <v>159</v>
      </c>
      <c r="E61" s="125">
        <v>33687.787500000006</v>
      </c>
      <c r="F61" s="125">
        <v>33687.787500000006</v>
      </c>
      <c r="G61" s="126" t="s">
        <v>186</v>
      </c>
      <c r="H61" s="125">
        <v>33687.787500000006</v>
      </c>
      <c r="I61" s="126" t="s">
        <v>186</v>
      </c>
      <c r="J61" s="125">
        <v>33687.787500000006</v>
      </c>
      <c r="K61" s="126" t="s">
        <v>186</v>
      </c>
      <c r="L61" s="125">
        <v>33687.787500000006</v>
      </c>
      <c r="M61" s="126" t="s">
        <v>186</v>
      </c>
    </row>
    <row r="62" spans="1:13" ht="45" x14ac:dyDescent="0.25">
      <c r="A62" s="124" t="s">
        <v>26</v>
      </c>
      <c r="B62" s="124" t="s">
        <v>51</v>
      </c>
      <c r="C62" s="124" t="s">
        <v>55</v>
      </c>
      <c r="D62" s="124" t="s">
        <v>160</v>
      </c>
      <c r="E62" s="125">
        <v>1464.6864130434785</v>
      </c>
      <c r="F62" s="125">
        <v>1464.6864130434785</v>
      </c>
      <c r="G62" s="126" t="s">
        <v>186</v>
      </c>
      <c r="H62" s="125">
        <v>1464.6864130434785</v>
      </c>
      <c r="I62" s="126" t="s">
        <v>186</v>
      </c>
      <c r="J62" s="125">
        <v>1464.6864130434785</v>
      </c>
      <c r="K62" s="126" t="s">
        <v>186</v>
      </c>
      <c r="L62" s="125">
        <v>1464.6864130434785</v>
      </c>
      <c r="M62" s="126" t="s">
        <v>186</v>
      </c>
    </row>
    <row r="63" spans="1:13" ht="45" x14ac:dyDescent="0.25">
      <c r="A63" s="124" t="s">
        <v>26</v>
      </c>
      <c r="B63" s="124" t="s">
        <v>51</v>
      </c>
      <c r="C63" s="124" t="s">
        <v>55</v>
      </c>
      <c r="D63" s="124" t="s">
        <v>162</v>
      </c>
      <c r="E63" s="125">
        <v>99598.676086956533</v>
      </c>
      <c r="F63" s="125">
        <v>99598.676086956533</v>
      </c>
      <c r="G63" s="126" t="s">
        <v>186</v>
      </c>
      <c r="H63" s="125">
        <v>99598.676086956533</v>
      </c>
      <c r="I63" s="126" t="s">
        <v>186</v>
      </c>
      <c r="J63" s="125">
        <v>99598.676086956533</v>
      </c>
      <c r="K63" s="126" t="s">
        <v>186</v>
      </c>
      <c r="L63" s="125">
        <v>99598.676086956533</v>
      </c>
      <c r="M63" s="126" t="s">
        <v>186</v>
      </c>
    </row>
    <row r="64" spans="1:13" ht="45" x14ac:dyDescent="0.25">
      <c r="A64" s="124" t="s">
        <v>26</v>
      </c>
      <c r="B64" s="124" t="s">
        <v>51</v>
      </c>
      <c r="C64" s="124" t="s">
        <v>52</v>
      </c>
      <c r="D64" s="124" t="s">
        <v>159</v>
      </c>
      <c r="E64" s="125">
        <v>67096.790270270314</v>
      </c>
      <c r="F64" s="125">
        <v>67096.790270270314</v>
      </c>
      <c r="G64" s="126" t="s">
        <v>186</v>
      </c>
      <c r="H64" s="125">
        <v>67096.790270270314</v>
      </c>
      <c r="I64" s="126" t="s">
        <v>186</v>
      </c>
      <c r="J64" s="125">
        <v>67096.790270270314</v>
      </c>
      <c r="K64" s="126" t="s">
        <v>186</v>
      </c>
      <c r="L64" s="125">
        <v>67096.790270270314</v>
      </c>
      <c r="M64" s="126" t="s">
        <v>186</v>
      </c>
    </row>
    <row r="65" spans="1:13" ht="45" x14ac:dyDescent="0.25">
      <c r="A65" s="124" t="s">
        <v>26</v>
      </c>
      <c r="B65" s="124" t="s">
        <v>51</v>
      </c>
      <c r="C65" s="124" t="s">
        <v>52</v>
      </c>
      <c r="D65" s="124" t="s">
        <v>163</v>
      </c>
      <c r="E65" s="125">
        <v>1863.7997297297309</v>
      </c>
      <c r="F65" s="125">
        <v>1863.7997297297309</v>
      </c>
      <c r="G65" s="126" t="s">
        <v>186</v>
      </c>
      <c r="H65" s="125">
        <v>1863.7997297297309</v>
      </c>
      <c r="I65" s="126" t="s">
        <v>186</v>
      </c>
      <c r="J65" s="125">
        <v>1863.7997297297309</v>
      </c>
      <c r="K65" s="126" t="s">
        <v>186</v>
      </c>
      <c r="L65" s="125">
        <v>1863.7997297297309</v>
      </c>
      <c r="M65" s="126" t="s">
        <v>186</v>
      </c>
    </row>
    <row r="66" spans="1:13" ht="30" x14ac:dyDescent="0.25">
      <c r="A66" s="126" t="s">
        <v>114</v>
      </c>
      <c r="B66" s="126" t="s">
        <v>114</v>
      </c>
      <c r="C66" s="126" t="s">
        <v>114</v>
      </c>
      <c r="D66" s="126" t="s">
        <v>114</v>
      </c>
      <c r="E66" s="126" t="s">
        <v>241</v>
      </c>
      <c r="F66" s="126" t="s">
        <v>247</v>
      </c>
      <c r="G66" s="126" t="s">
        <v>114</v>
      </c>
      <c r="H66" s="126" t="s">
        <v>248</v>
      </c>
      <c r="I66" s="126" t="s">
        <v>114</v>
      </c>
      <c r="J66" s="126" t="s">
        <v>249</v>
      </c>
      <c r="K66" s="126" t="s">
        <v>114</v>
      </c>
      <c r="L66" s="126" t="s">
        <v>250</v>
      </c>
      <c r="M66" s="126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14A1A-A472-4140-A415-24C70E34EE10}">
  <dimension ref="A1:M66"/>
  <sheetViews>
    <sheetView topLeftCell="A54" workbookViewId="0">
      <selection activeCell="A2" sqref="A2:M65"/>
    </sheetView>
  </sheetViews>
  <sheetFormatPr defaultRowHeight="15" x14ac:dyDescent="0.25"/>
  <sheetData>
    <row r="1" spans="1:13" x14ac:dyDescent="0.25">
      <c r="A1" s="119" t="s">
        <v>218</v>
      </c>
      <c r="B1" s="119" t="s">
        <v>231</v>
      </c>
      <c r="C1" s="119" t="s">
        <v>177</v>
      </c>
      <c r="D1" s="119" t="s">
        <v>178</v>
      </c>
      <c r="E1" s="119" t="s">
        <v>179</v>
      </c>
      <c r="F1" s="119" t="s">
        <v>106</v>
      </c>
      <c r="G1" s="119" t="s">
        <v>180</v>
      </c>
      <c r="H1" s="119" t="s">
        <v>108</v>
      </c>
      <c r="I1" s="119" t="s">
        <v>181</v>
      </c>
      <c r="J1" s="119" t="s">
        <v>182</v>
      </c>
      <c r="K1" s="119" t="s">
        <v>183</v>
      </c>
      <c r="L1" s="119" t="s">
        <v>223</v>
      </c>
      <c r="M1" s="119" t="s">
        <v>224</v>
      </c>
    </row>
    <row r="2" spans="1:13" x14ac:dyDescent="0.25">
      <c r="A2" s="120" t="s">
        <v>26</v>
      </c>
      <c r="B2" s="120" t="s">
        <v>54</v>
      </c>
      <c r="C2" s="120" t="s">
        <v>82</v>
      </c>
      <c r="D2" s="120" t="s">
        <v>83</v>
      </c>
      <c r="E2" s="121">
        <v>61548.353999999999</v>
      </c>
      <c r="F2" s="121">
        <v>0</v>
      </c>
      <c r="G2" s="122" t="s">
        <v>187</v>
      </c>
      <c r="H2" s="121">
        <v>0</v>
      </c>
      <c r="I2" s="122" t="s">
        <v>187</v>
      </c>
      <c r="J2" s="121">
        <v>0</v>
      </c>
      <c r="K2" s="122" t="s">
        <v>187</v>
      </c>
      <c r="L2" s="121">
        <v>0</v>
      </c>
      <c r="M2" s="122" t="s">
        <v>187</v>
      </c>
    </row>
    <row r="3" spans="1:13" x14ac:dyDescent="0.25">
      <c r="A3" s="120" t="s">
        <v>26</v>
      </c>
      <c r="B3" s="120" t="s">
        <v>54</v>
      </c>
      <c r="C3" s="120" t="s">
        <v>84</v>
      </c>
      <c r="D3" s="120" t="s">
        <v>83</v>
      </c>
      <c r="E3" s="121">
        <v>61548.354399999989</v>
      </c>
      <c r="F3" s="121">
        <v>0</v>
      </c>
      <c r="G3" s="122" t="s">
        <v>187</v>
      </c>
      <c r="H3" s="121">
        <v>0</v>
      </c>
      <c r="I3" s="122" t="s">
        <v>187</v>
      </c>
      <c r="J3" s="121">
        <v>0</v>
      </c>
      <c r="K3" s="122" t="s">
        <v>187</v>
      </c>
      <c r="L3" s="121">
        <v>0</v>
      </c>
      <c r="M3" s="122" t="s">
        <v>187</v>
      </c>
    </row>
    <row r="4" spans="1:13" x14ac:dyDescent="0.25">
      <c r="A4" s="120" t="s">
        <v>26</v>
      </c>
      <c r="B4" s="120" t="s">
        <v>54</v>
      </c>
      <c r="C4" s="120" t="s">
        <v>94</v>
      </c>
      <c r="D4" s="120" t="s">
        <v>101</v>
      </c>
      <c r="E4" s="121">
        <v>116529.73999999999</v>
      </c>
      <c r="F4" s="121">
        <v>67975.681666666671</v>
      </c>
      <c r="G4" s="122" t="s">
        <v>226</v>
      </c>
      <c r="H4" s="121">
        <v>48554.058333333334</v>
      </c>
      <c r="I4" s="122" t="s">
        <v>227</v>
      </c>
      <c r="J4" s="121">
        <v>14566.217499999999</v>
      </c>
      <c r="K4" s="122" t="s">
        <v>203</v>
      </c>
      <c r="L4" s="121">
        <v>0</v>
      </c>
      <c r="M4" s="122" t="s">
        <v>187</v>
      </c>
    </row>
    <row r="5" spans="1:13" ht="30" x14ac:dyDescent="0.25">
      <c r="A5" s="120" t="s">
        <v>26</v>
      </c>
      <c r="B5" s="120" t="s">
        <v>54</v>
      </c>
      <c r="C5" s="120" t="s">
        <v>79</v>
      </c>
      <c r="D5" s="120" t="s">
        <v>59</v>
      </c>
      <c r="E5" s="121">
        <v>66526.931673225015</v>
      </c>
      <c r="F5" s="121">
        <v>66526.931673225015</v>
      </c>
      <c r="G5" s="122" t="s">
        <v>186</v>
      </c>
      <c r="H5" s="121">
        <v>66526.931673225015</v>
      </c>
      <c r="I5" s="122" t="s">
        <v>186</v>
      </c>
      <c r="J5" s="121">
        <v>66526.931673225015</v>
      </c>
      <c r="K5" s="122" t="s">
        <v>186</v>
      </c>
      <c r="L5" s="121">
        <v>66526.931673225015</v>
      </c>
      <c r="M5" s="122" t="s">
        <v>186</v>
      </c>
    </row>
    <row r="6" spans="1:13" ht="30" x14ac:dyDescent="0.25">
      <c r="A6" s="120" t="s">
        <v>26</v>
      </c>
      <c r="B6" s="120" t="s">
        <v>54</v>
      </c>
      <c r="C6" s="120" t="s">
        <v>80</v>
      </c>
      <c r="D6" s="120" t="s">
        <v>59</v>
      </c>
      <c r="E6" s="121">
        <v>27322.570000000014</v>
      </c>
      <c r="F6" s="121">
        <v>27322.570000000014</v>
      </c>
      <c r="G6" s="122" t="s">
        <v>186</v>
      </c>
      <c r="H6" s="121">
        <v>27322.570000000014</v>
      </c>
      <c r="I6" s="122" t="s">
        <v>186</v>
      </c>
      <c r="J6" s="121">
        <v>27322.570000000014</v>
      </c>
      <c r="K6" s="122" t="s">
        <v>186</v>
      </c>
      <c r="L6" s="121">
        <v>27322.570000000014</v>
      </c>
      <c r="M6" s="122" t="s">
        <v>186</v>
      </c>
    </row>
    <row r="7" spans="1:13" ht="30" x14ac:dyDescent="0.25">
      <c r="A7" s="120" t="s">
        <v>26</v>
      </c>
      <c r="B7" s="120" t="s">
        <v>54</v>
      </c>
      <c r="C7" s="120" t="s">
        <v>89</v>
      </c>
      <c r="D7" s="120" t="s">
        <v>59</v>
      </c>
      <c r="E7" s="121">
        <v>7738.8999999999987</v>
      </c>
      <c r="F7" s="121">
        <v>7738.8999999999987</v>
      </c>
      <c r="G7" s="122" t="s">
        <v>186</v>
      </c>
      <c r="H7" s="121">
        <v>7738.8999999999987</v>
      </c>
      <c r="I7" s="122" t="s">
        <v>186</v>
      </c>
      <c r="J7" s="121">
        <v>7738.8999999999987</v>
      </c>
      <c r="K7" s="122" t="s">
        <v>186</v>
      </c>
      <c r="L7" s="121">
        <v>7738.8999999999987</v>
      </c>
      <c r="M7" s="122" t="s">
        <v>186</v>
      </c>
    </row>
    <row r="8" spans="1:13" ht="30" x14ac:dyDescent="0.25">
      <c r="A8" s="120" t="s">
        <v>26</v>
      </c>
      <c r="B8" s="120" t="s">
        <v>54</v>
      </c>
      <c r="C8" s="120" t="s">
        <v>90</v>
      </c>
      <c r="D8" s="120" t="s">
        <v>59</v>
      </c>
      <c r="E8" s="121">
        <v>12606.7</v>
      </c>
      <c r="F8" s="121">
        <v>12606.7</v>
      </c>
      <c r="G8" s="122" t="s">
        <v>186</v>
      </c>
      <c r="H8" s="121">
        <v>12606.7</v>
      </c>
      <c r="I8" s="122" t="s">
        <v>186</v>
      </c>
      <c r="J8" s="121">
        <v>12606.7</v>
      </c>
      <c r="K8" s="122" t="s">
        <v>186</v>
      </c>
      <c r="L8" s="121">
        <v>12606.7</v>
      </c>
      <c r="M8" s="122" t="s">
        <v>186</v>
      </c>
    </row>
    <row r="9" spans="1:13" ht="30" x14ac:dyDescent="0.25">
      <c r="A9" s="120" t="s">
        <v>26</v>
      </c>
      <c r="B9" s="120" t="s">
        <v>54</v>
      </c>
      <c r="C9" s="120" t="s">
        <v>87</v>
      </c>
      <c r="D9" s="120" t="s">
        <v>59</v>
      </c>
      <c r="E9" s="121">
        <v>11821.399999999996</v>
      </c>
      <c r="F9" s="121">
        <v>11821.399999999996</v>
      </c>
      <c r="G9" s="122" t="s">
        <v>186</v>
      </c>
      <c r="H9" s="121">
        <v>11821.399999999996</v>
      </c>
      <c r="I9" s="122" t="s">
        <v>186</v>
      </c>
      <c r="J9" s="121">
        <v>11821.399999999996</v>
      </c>
      <c r="K9" s="122" t="s">
        <v>186</v>
      </c>
      <c r="L9" s="121">
        <v>11821.399999999996</v>
      </c>
      <c r="M9" s="122" t="s">
        <v>186</v>
      </c>
    </row>
    <row r="10" spans="1:13" ht="30" x14ac:dyDescent="0.25">
      <c r="A10" s="120" t="s">
        <v>26</v>
      </c>
      <c r="B10" s="120" t="s">
        <v>54</v>
      </c>
      <c r="C10" s="120" t="s">
        <v>93</v>
      </c>
      <c r="D10" s="120" t="s">
        <v>59</v>
      </c>
      <c r="E10" s="121">
        <v>13649.199999999999</v>
      </c>
      <c r="F10" s="121">
        <v>13649.199999999999</v>
      </c>
      <c r="G10" s="122" t="s">
        <v>186</v>
      </c>
      <c r="H10" s="121">
        <v>13649.199999999999</v>
      </c>
      <c r="I10" s="122" t="s">
        <v>186</v>
      </c>
      <c r="J10" s="121">
        <v>13649.199999999999</v>
      </c>
      <c r="K10" s="122" t="s">
        <v>186</v>
      </c>
      <c r="L10" s="121">
        <v>13649.199999999999</v>
      </c>
      <c r="M10" s="122" t="s">
        <v>186</v>
      </c>
    </row>
    <row r="11" spans="1:13" ht="30" x14ac:dyDescent="0.25">
      <c r="A11" s="120" t="s">
        <v>26</v>
      </c>
      <c r="B11" s="120" t="s">
        <v>54</v>
      </c>
      <c r="C11" s="120" t="s">
        <v>58</v>
      </c>
      <c r="D11" s="120" t="s">
        <v>59</v>
      </c>
      <c r="E11" s="121">
        <v>18010.695291250006</v>
      </c>
      <c r="F11" s="121">
        <v>18010.695291250006</v>
      </c>
      <c r="G11" s="122" t="s">
        <v>186</v>
      </c>
      <c r="H11" s="121">
        <v>18010.695291250006</v>
      </c>
      <c r="I11" s="122" t="s">
        <v>186</v>
      </c>
      <c r="J11" s="121">
        <v>18010.695291250006</v>
      </c>
      <c r="K11" s="122" t="s">
        <v>186</v>
      </c>
      <c r="L11" s="121">
        <v>18010.695291250006</v>
      </c>
      <c r="M11" s="122" t="s">
        <v>186</v>
      </c>
    </row>
    <row r="12" spans="1:13" ht="30" x14ac:dyDescent="0.25">
      <c r="A12" s="120" t="s">
        <v>26</v>
      </c>
      <c r="B12" s="120" t="s">
        <v>54</v>
      </c>
      <c r="C12" s="120" t="s">
        <v>77</v>
      </c>
      <c r="D12" s="120" t="s">
        <v>59</v>
      </c>
      <c r="E12" s="121">
        <v>14499.954724850006</v>
      </c>
      <c r="F12" s="121">
        <v>14499.954724850006</v>
      </c>
      <c r="G12" s="122" t="s">
        <v>186</v>
      </c>
      <c r="H12" s="121">
        <v>14499.954724850006</v>
      </c>
      <c r="I12" s="122" t="s">
        <v>186</v>
      </c>
      <c r="J12" s="121">
        <v>14499.954724850006</v>
      </c>
      <c r="K12" s="122" t="s">
        <v>186</v>
      </c>
      <c r="L12" s="121">
        <v>14499.954724850006</v>
      </c>
      <c r="M12" s="122" t="s">
        <v>186</v>
      </c>
    </row>
    <row r="13" spans="1:13" ht="45" x14ac:dyDescent="0.25">
      <c r="A13" s="120" t="s">
        <v>26</v>
      </c>
      <c r="B13" s="120" t="s">
        <v>54</v>
      </c>
      <c r="C13" s="120" t="s">
        <v>62</v>
      </c>
      <c r="D13" s="120" t="s">
        <v>164</v>
      </c>
      <c r="E13" s="121">
        <v>83412.565384615358</v>
      </c>
      <c r="F13" s="121">
        <v>75468.51153846152</v>
      </c>
      <c r="G13" s="122" t="s">
        <v>194</v>
      </c>
      <c r="H13" s="121">
        <v>49650.336538461524</v>
      </c>
      <c r="I13" s="122" t="s">
        <v>232</v>
      </c>
      <c r="J13" s="121">
        <v>45678.309615384605</v>
      </c>
      <c r="K13" s="122" t="s">
        <v>240</v>
      </c>
      <c r="L13" s="121">
        <v>0</v>
      </c>
      <c r="M13" s="122" t="s">
        <v>187</v>
      </c>
    </row>
    <row r="14" spans="1:13" ht="45" x14ac:dyDescent="0.25">
      <c r="A14" s="120" t="s">
        <v>26</v>
      </c>
      <c r="B14" s="120" t="s">
        <v>54</v>
      </c>
      <c r="C14" s="120" t="s">
        <v>62</v>
      </c>
      <c r="D14" s="120" t="s">
        <v>165</v>
      </c>
      <c r="E14" s="121">
        <v>19860.13461538461</v>
      </c>
      <c r="F14" s="121">
        <v>7944.0538461538445</v>
      </c>
      <c r="G14" s="122" t="s">
        <v>197</v>
      </c>
      <c r="H14" s="121">
        <v>1986.0134615384611</v>
      </c>
      <c r="I14" s="122" t="s">
        <v>234</v>
      </c>
      <c r="J14" s="121">
        <v>0</v>
      </c>
      <c r="K14" s="122" t="s">
        <v>187</v>
      </c>
      <c r="L14" s="121">
        <v>0</v>
      </c>
      <c r="M14" s="122" t="s">
        <v>187</v>
      </c>
    </row>
    <row r="15" spans="1:13" ht="45" x14ac:dyDescent="0.25">
      <c r="A15" s="120" t="s">
        <v>26</v>
      </c>
      <c r="B15" s="120" t="s">
        <v>54</v>
      </c>
      <c r="C15" s="120" t="s">
        <v>64</v>
      </c>
      <c r="D15" s="120" t="s">
        <v>164</v>
      </c>
      <c r="E15" s="121">
        <v>53557.390769230769</v>
      </c>
      <c r="F15" s="121">
        <v>53557.390769230769</v>
      </c>
      <c r="G15" s="122" t="s">
        <v>186</v>
      </c>
      <c r="H15" s="121">
        <v>53557.390769230769</v>
      </c>
      <c r="I15" s="122" t="s">
        <v>186</v>
      </c>
      <c r="J15" s="121">
        <v>53557.390769230769</v>
      </c>
      <c r="K15" s="122" t="s">
        <v>186</v>
      </c>
      <c r="L15" s="121">
        <v>53557.390769230769</v>
      </c>
      <c r="M15" s="122" t="s">
        <v>186</v>
      </c>
    </row>
    <row r="16" spans="1:13" ht="45" x14ac:dyDescent="0.25">
      <c r="A16" s="120" t="s">
        <v>26</v>
      </c>
      <c r="B16" s="120" t="s">
        <v>54</v>
      </c>
      <c r="C16" s="120" t="s">
        <v>64</v>
      </c>
      <c r="D16" s="120" t="s">
        <v>165</v>
      </c>
      <c r="E16" s="121">
        <v>33473.369230769233</v>
      </c>
      <c r="F16" s="121">
        <v>33473.369230769233</v>
      </c>
      <c r="G16" s="122" t="s">
        <v>186</v>
      </c>
      <c r="H16" s="121">
        <v>33473.369230769233</v>
      </c>
      <c r="I16" s="122" t="s">
        <v>186</v>
      </c>
      <c r="J16" s="121">
        <v>33473.369230769233</v>
      </c>
      <c r="K16" s="122" t="s">
        <v>186</v>
      </c>
      <c r="L16" s="121">
        <v>33473.369230769233</v>
      </c>
      <c r="M16" s="122" t="s">
        <v>186</v>
      </c>
    </row>
    <row r="17" spans="1:13" ht="45" x14ac:dyDescent="0.25">
      <c r="A17" s="120" t="s">
        <v>26</v>
      </c>
      <c r="B17" s="120" t="s">
        <v>54</v>
      </c>
      <c r="C17" s="120" t="s">
        <v>71</v>
      </c>
      <c r="D17" s="120" t="s">
        <v>164</v>
      </c>
      <c r="E17" s="121">
        <v>82046.400000000009</v>
      </c>
      <c r="F17" s="121">
        <v>82046.400000000009</v>
      </c>
      <c r="G17" s="122" t="s">
        <v>186</v>
      </c>
      <c r="H17" s="121">
        <v>82046.400000000009</v>
      </c>
      <c r="I17" s="122" t="s">
        <v>186</v>
      </c>
      <c r="J17" s="121">
        <v>82046.400000000009</v>
      </c>
      <c r="K17" s="122" t="s">
        <v>186</v>
      </c>
      <c r="L17" s="121">
        <v>82046.400000000009</v>
      </c>
      <c r="M17" s="122" t="s">
        <v>186</v>
      </c>
    </row>
    <row r="18" spans="1:13" ht="45" x14ac:dyDescent="0.25">
      <c r="A18" s="120" t="s">
        <v>26</v>
      </c>
      <c r="B18" s="120" t="s">
        <v>54</v>
      </c>
      <c r="C18" s="120" t="s">
        <v>75</v>
      </c>
      <c r="D18" s="120" t="s">
        <v>164</v>
      </c>
      <c r="E18" s="121">
        <v>80497.16</v>
      </c>
      <c r="F18" s="121">
        <v>80497.16</v>
      </c>
      <c r="G18" s="122" t="s">
        <v>186</v>
      </c>
      <c r="H18" s="121">
        <v>80497.16</v>
      </c>
      <c r="I18" s="122" t="s">
        <v>186</v>
      </c>
      <c r="J18" s="121">
        <v>80497.16</v>
      </c>
      <c r="K18" s="122" t="s">
        <v>186</v>
      </c>
      <c r="L18" s="121">
        <v>80497.16</v>
      </c>
      <c r="M18" s="122" t="s">
        <v>186</v>
      </c>
    </row>
    <row r="19" spans="1:13" ht="45" x14ac:dyDescent="0.25">
      <c r="A19" s="120" t="s">
        <v>26</v>
      </c>
      <c r="B19" s="120" t="s">
        <v>54</v>
      </c>
      <c r="C19" s="120" t="s">
        <v>81</v>
      </c>
      <c r="D19" s="120" t="s">
        <v>165</v>
      </c>
      <c r="E19" s="121">
        <v>89010.219999999987</v>
      </c>
      <c r="F19" s="121">
        <v>89010.219999999987</v>
      </c>
      <c r="G19" s="122" t="s">
        <v>186</v>
      </c>
      <c r="H19" s="121">
        <v>89010.219999999987</v>
      </c>
      <c r="I19" s="122" t="s">
        <v>186</v>
      </c>
      <c r="J19" s="121">
        <v>89010.219999999987</v>
      </c>
      <c r="K19" s="122" t="s">
        <v>186</v>
      </c>
      <c r="L19" s="121">
        <v>89010.219999999987</v>
      </c>
      <c r="M19" s="122" t="s">
        <v>186</v>
      </c>
    </row>
    <row r="20" spans="1:13" ht="45" x14ac:dyDescent="0.25">
      <c r="A20" s="120" t="s">
        <v>26</v>
      </c>
      <c r="B20" s="120" t="s">
        <v>54</v>
      </c>
      <c r="C20" s="120" t="s">
        <v>85</v>
      </c>
      <c r="D20" s="120" t="s">
        <v>165</v>
      </c>
      <c r="E20" s="121">
        <v>88239.10000000002</v>
      </c>
      <c r="F20" s="121">
        <v>88239.10000000002</v>
      </c>
      <c r="G20" s="122" t="s">
        <v>186</v>
      </c>
      <c r="H20" s="121">
        <v>88239.10000000002</v>
      </c>
      <c r="I20" s="122" t="s">
        <v>186</v>
      </c>
      <c r="J20" s="121">
        <v>88239.10000000002</v>
      </c>
      <c r="K20" s="122" t="s">
        <v>186</v>
      </c>
      <c r="L20" s="121">
        <v>88239.10000000002</v>
      </c>
      <c r="M20" s="122" t="s">
        <v>186</v>
      </c>
    </row>
    <row r="21" spans="1:13" ht="45" x14ac:dyDescent="0.25">
      <c r="A21" s="120" t="s">
        <v>26</v>
      </c>
      <c r="B21" s="120" t="s">
        <v>54</v>
      </c>
      <c r="C21" s="120" t="s">
        <v>86</v>
      </c>
      <c r="D21" s="120" t="s">
        <v>164</v>
      </c>
      <c r="E21" s="121">
        <v>20377.497966666666</v>
      </c>
      <c r="F21" s="121">
        <v>3396.249661111111</v>
      </c>
      <c r="G21" s="122" t="s">
        <v>205</v>
      </c>
      <c r="H21" s="121">
        <v>0</v>
      </c>
      <c r="I21" s="122" t="s">
        <v>187</v>
      </c>
      <c r="J21" s="121">
        <v>0</v>
      </c>
      <c r="K21" s="122" t="s">
        <v>187</v>
      </c>
      <c r="L21" s="121">
        <v>0</v>
      </c>
      <c r="M21" s="122" t="s">
        <v>187</v>
      </c>
    </row>
    <row r="22" spans="1:13" ht="45" x14ac:dyDescent="0.25">
      <c r="A22" s="120" t="s">
        <v>26</v>
      </c>
      <c r="B22" s="120" t="s">
        <v>54</v>
      </c>
      <c r="C22" s="120" t="s">
        <v>86</v>
      </c>
      <c r="D22" s="120" t="s">
        <v>165</v>
      </c>
      <c r="E22" s="121">
        <v>40754.995933333332</v>
      </c>
      <c r="F22" s="121">
        <v>3396.249661111111</v>
      </c>
      <c r="G22" s="122" t="s">
        <v>204</v>
      </c>
      <c r="H22" s="121">
        <v>3396.249661111111</v>
      </c>
      <c r="I22" s="122" t="s">
        <v>204</v>
      </c>
      <c r="J22" s="121">
        <v>0</v>
      </c>
      <c r="K22" s="122" t="s">
        <v>187</v>
      </c>
      <c r="L22" s="121">
        <v>0</v>
      </c>
      <c r="M22" s="122" t="s">
        <v>187</v>
      </c>
    </row>
    <row r="23" spans="1:13" ht="45" x14ac:dyDescent="0.25">
      <c r="A23" s="120" t="s">
        <v>26</v>
      </c>
      <c r="B23" s="120" t="s">
        <v>54</v>
      </c>
      <c r="C23" s="120" t="s">
        <v>88</v>
      </c>
      <c r="D23" s="120" t="s">
        <v>164</v>
      </c>
      <c r="E23" s="121">
        <v>37721.30214</v>
      </c>
      <c r="F23" s="121">
        <v>13621.581328333334</v>
      </c>
      <c r="G23" s="122" t="s">
        <v>206</v>
      </c>
      <c r="H23" s="121">
        <v>12573.767379999999</v>
      </c>
      <c r="I23" s="122" t="s">
        <v>207</v>
      </c>
      <c r="J23" s="121">
        <v>9430.3255349999999</v>
      </c>
      <c r="K23" s="122" t="s">
        <v>208</v>
      </c>
      <c r="L23" s="121">
        <v>0</v>
      </c>
      <c r="M23" s="122" t="s">
        <v>187</v>
      </c>
    </row>
    <row r="24" spans="1:13" ht="45" x14ac:dyDescent="0.25">
      <c r="A24" s="120" t="s">
        <v>26</v>
      </c>
      <c r="B24" s="120" t="s">
        <v>54</v>
      </c>
      <c r="C24" s="120" t="s">
        <v>88</v>
      </c>
      <c r="D24" s="120" t="s">
        <v>165</v>
      </c>
      <c r="E24" s="121">
        <v>25147.534760000002</v>
      </c>
      <c r="F24" s="121">
        <v>0</v>
      </c>
      <c r="G24" s="122" t="s">
        <v>187</v>
      </c>
      <c r="H24" s="121">
        <v>0</v>
      </c>
      <c r="I24" s="122" t="s">
        <v>187</v>
      </c>
      <c r="J24" s="121">
        <v>0</v>
      </c>
      <c r="K24" s="122" t="s">
        <v>187</v>
      </c>
      <c r="L24" s="121">
        <v>0</v>
      </c>
      <c r="M24" s="122" t="s">
        <v>187</v>
      </c>
    </row>
    <row r="25" spans="1:13" ht="45" x14ac:dyDescent="0.25">
      <c r="A25" s="120" t="s">
        <v>26</v>
      </c>
      <c r="B25" s="120" t="s">
        <v>54</v>
      </c>
      <c r="C25" s="120" t="s">
        <v>91</v>
      </c>
      <c r="D25" s="120" t="s">
        <v>164</v>
      </c>
      <c r="E25" s="121">
        <v>51218.906666666669</v>
      </c>
      <c r="F25" s="121">
        <v>0</v>
      </c>
      <c r="G25" s="122" t="s">
        <v>187</v>
      </c>
      <c r="H25" s="121">
        <v>0</v>
      </c>
      <c r="I25" s="122" t="s">
        <v>187</v>
      </c>
      <c r="J25" s="121">
        <v>0</v>
      </c>
      <c r="K25" s="122" t="s">
        <v>187</v>
      </c>
      <c r="L25" s="121">
        <v>0</v>
      </c>
      <c r="M25" s="122" t="s">
        <v>187</v>
      </c>
    </row>
    <row r="26" spans="1:13" ht="45" x14ac:dyDescent="0.25">
      <c r="A26" s="120" t="s">
        <v>26</v>
      </c>
      <c r="B26" s="120" t="s">
        <v>54</v>
      </c>
      <c r="C26" s="120" t="s">
        <v>91</v>
      </c>
      <c r="D26" s="120" t="s">
        <v>165</v>
      </c>
      <c r="E26" s="121">
        <v>25609.453333333335</v>
      </c>
      <c r="F26" s="121">
        <v>0</v>
      </c>
      <c r="G26" s="122" t="s">
        <v>187</v>
      </c>
      <c r="H26" s="121">
        <v>0</v>
      </c>
      <c r="I26" s="122" t="s">
        <v>187</v>
      </c>
      <c r="J26" s="121">
        <v>0</v>
      </c>
      <c r="K26" s="122" t="s">
        <v>187</v>
      </c>
      <c r="L26" s="121">
        <v>0</v>
      </c>
      <c r="M26" s="122" t="s">
        <v>187</v>
      </c>
    </row>
    <row r="27" spans="1:13" x14ac:dyDescent="0.25">
      <c r="A27" s="120" t="s">
        <v>26</v>
      </c>
      <c r="B27" s="120" t="s">
        <v>27</v>
      </c>
      <c r="C27" s="120" t="s">
        <v>28</v>
      </c>
      <c r="D27" s="120" t="s">
        <v>30</v>
      </c>
      <c r="E27" s="121">
        <v>96552.957720588165</v>
      </c>
      <c r="F27" s="121">
        <v>96552.957720588165</v>
      </c>
      <c r="G27" s="122" t="s">
        <v>186</v>
      </c>
      <c r="H27" s="121">
        <v>96552.957720588165</v>
      </c>
      <c r="I27" s="122" t="s">
        <v>186</v>
      </c>
      <c r="J27" s="121">
        <v>96552.957720588165</v>
      </c>
      <c r="K27" s="122" t="s">
        <v>186</v>
      </c>
      <c r="L27" s="121">
        <v>96552.957720588165</v>
      </c>
      <c r="M27" s="122" t="s">
        <v>186</v>
      </c>
    </row>
    <row r="28" spans="1:13" ht="45" x14ac:dyDescent="0.25">
      <c r="A28" s="120" t="s">
        <v>26</v>
      </c>
      <c r="B28" s="120" t="s">
        <v>27</v>
      </c>
      <c r="C28" s="120" t="s">
        <v>96</v>
      </c>
      <c r="D28" s="120" t="s">
        <v>32</v>
      </c>
      <c r="E28" s="121">
        <v>7161.8114376280319</v>
      </c>
      <c r="F28" s="121">
        <v>7161.8114376280319</v>
      </c>
      <c r="G28" s="122" t="s">
        <v>186</v>
      </c>
      <c r="H28" s="121">
        <v>7161.8114376280319</v>
      </c>
      <c r="I28" s="122" t="s">
        <v>186</v>
      </c>
      <c r="J28" s="121">
        <v>7161.8114376280319</v>
      </c>
      <c r="K28" s="122" t="s">
        <v>186</v>
      </c>
      <c r="L28" s="121">
        <v>7161.8114376280319</v>
      </c>
      <c r="M28" s="122" t="s">
        <v>186</v>
      </c>
    </row>
    <row r="29" spans="1:13" x14ac:dyDescent="0.25">
      <c r="A29" s="120" t="s">
        <v>26</v>
      </c>
      <c r="B29" s="120" t="s">
        <v>27</v>
      </c>
      <c r="C29" s="120" t="s">
        <v>31</v>
      </c>
      <c r="D29" s="120" t="s">
        <v>33</v>
      </c>
      <c r="E29" s="121">
        <v>108361.32088237196</v>
      </c>
      <c r="F29" s="121">
        <v>108361.32088237196</v>
      </c>
      <c r="G29" s="122" t="s">
        <v>186</v>
      </c>
      <c r="H29" s="121">
        <v>108361.32088237196</v>
      </c>
      <c r="I29" s="122" t="s">
        <v>186</v>
      </c>
      <c r="J29" s="121">
        <v>108361.32088237196</v>
      </c>
      <c r="K29" s="122" t="s">
        <v>186</v>
      </c>
      <c r="L29" s="121">
        <v>108361.32088237196</v>
      </c>
      <c r="M29" s="122" t="s">
        <v>186</v>
      </c>
    </row>
    <row r="30" spans="1:13" ht="45" x14ac:dyDescent="0.25">
      <c r="A30" s="120" t="s">
        <v>26</v>
      </c>
      <c r="B30" s="120" t="s">
        <v>27</v>
      </c>
      <c r="C30" s="120" t="s">
        <v>97</v>
      </c>
      <c r="D30" s="120" t="s">
        <v>35</v>
      </c>
      <c r="E30" s="121">
        <v>28819.23</v>
      </c>
      <c r="F30" s="121">
        <v>28819.23</v>
      </c>
      <c r="G30" s="122" t="s">
        <v>186</v>
      </c>
      <c r="H30" s="121">
        <v>28819.23</v>
      </c>
      <c r="I30" s="122" t="s">
        <v>186</v>
      </c>
      <c r="J30" s="121">
        <v>28819.23</v>
      </c>
      <c r="K30" s="122" t="s">
        <v>186</v>
      </c>
      <c r="L30" s="121">
        <v>28819.23</v>
      </c>
      <c r="M30" s="122" t="s">
        <v>186</v>
      </c>
    </row>
    <row r="31" spans="1:13" x14ac:dyDescent="0.25">
      <c r="A31" s="120" t="s">
        <v>26</v>
      </c>
      <c r="B31" s="120" t="s">
        <v>27</v>
      </c>
      <c r="C31" s="120" t="s">
        <v>34</v>
      </c>
      <c r="D31" s="120" t="s">
        <v>36</v>
      </c>
      <c r="E31" s="121">
        <v>41918.879999999997</v>
      </c>
      <c r="F31" s="121">
        <v>41918.879999999997</v>
      </c>
      <c r="G31" s="122" t="s">
        <v>186</v>
      </c>
      <c r="H31" s="121">
        <v>41918.879999999997</v>
      </c>
      <c r="I31" s="122" t="s">
        <v>186</v>
      </c>
      <c r="J31" s="121">
        <v>41918.879999999997</v>
      </c>
      <c r="K31" s="122" t="s">
        <v>186</v>
      </c>
      <c r="L31" s="121">
        <v>41918.879999999997</v>
      </c>
      <c r="M31" s="122" t="s">
        <v>186</v>
      </c>
    </row>
    <row r="32" spans="1:13" ht="45" x14ac:dyDescent="0.25">
      <c r="A32" s="120" t="s">
        <v>26</v>
      </c>
      <c r="B32" s="120" t="s">
        <v>27</v>
      </c>
      <c r="C32" s="120" t="s">
        <v>154</v>
      </c>
      <c r="D32" s="120" t="s">
        <v>155</v>
      </c>
      <c r="E32" s="121">
        <v>69664.792279411718</v>
      </c>
      <c r="F32" s="121">
        <v>69664.792279411718</v>
      </c>
      <c r="G32" s="122" t="s">
        <v>186</v>
      </c>
      <c r="H32" s="121">
        <v>69664.792279411718</v>
      </c>
      <c r="I32" s="122" t="s">
        <v>186</v>
      </c>
      <c r="J32" s="121">
        <v>69664.792279411718</v>
      </c>
      <c r="K32" s="122" t="s">
        <v>186</v>
      </c>
      <c r="L32" s="121">
        <v>69664.792279411718</v>
      </c>
      <c r="M32" s="122" t="s">
        <v>186</v>
      </c>
    </row>
    <row r="33" spans="1:13" x14ac:dyDescent="0.25">
      <c r="A33" s="120" t="s">
        <v>26</v>
      </c>
      <c r="B33" s="120" t="s">
        <v>37</v>
      </c>
      <c r="C33" s="120" t="s">
        <v>38</v>
      </c>
      <c r="D33" s="120" t="s">
        <v>30</v>
      </c>
      <c r="E33" s="121">
        <v>202798.24999999991</v>
      </c>
      <c r="F33" s="121">
        <v>202798.24999999991</v>
      </c>
      <c r="G33" s="122" t="s">
        <v>186</v>
      </c>
      <c r="H33" s="121">
        <v>202798.24999999991</v>
      </c>
      <c r="I33" s="122" t="s">
        <v>186</v>
      </c>
      <c r="J33" s="121">
        <v>202798.24999999991</v>
      </c>
      <c r="K33" s="122" t="s">
        <v>186</v>
      </c>
      <c r="L33" s="121">
        <v>202798.24999999991</v>
      </c>
      <c r="M33" s="122" t="s">
        <v>186</v>
      </c>
    </row>
    <row r="34" spans="1:13" ht="45" x14ac:dyDescent="0.25">
      <c r="A34" s="120" t="s">
        <v>26</v>
      </c>
      <c r="B34" s="120" t="s">
        <v>37</v>
      </c>
      <c r="C34" s="120" t="s">
        <v>98</v>
      </c>
      <c r="D34" s="120" t="s">
        <v>40</v>
      </c>
      <c r="E34" s="121">
        <v>14225.697777777767</v>
      </c>
      <c r="F34" s="121">
        <v>14225.697777777767</v>
      </c>
      <c r="G34" s="122" t="s">
        <v>186</v>
      </c>
      <c r="H34" s="121">
        <v>14225.697777777767</v>
      </c>
      <c r="I34" s="122" t="s">
        <v>186</v>
      </c>
      <c r="J34" s="121">
        <v>14225.697777777767</v>
      </c>
      <c r="K34" s="122" t="s">
        <v>186</v>
      </c>
      <c r="L34" s="121">
        <v>14225.697777777767</v>
      </c>
      <c r="M34" s="122" t="s">
        <v>186</v>
      </c>
    </row>
    <row r="35" spans="1:13" x14ac:dyDescent="0.25">
      <c r="A35" s="120" t="s">
        <v>26</v>
      </c>
      <c r="B35" s="120" t="s">
        <v>37</v>
      </c>
      <c r="C35" s="120" t="s">
        <v>39</v>
      </c>
      <c r="D35" s="120" t="s">
        <v>41</v>
      </c>
      <c r="E35" s="121">
        <v>33786.032222222195</v>
      </c>
      <c r="F35" s="121">
        <v>33786.032222222195</v>
      </c>
      <c r="G35" s="122" t="s">
        <v>186</v>
      </c>
      <c r="H35" s="121">
        <v>33786.032222222195</v>
      </c>
      <c r="I35" s="122" t="s">
        <v>186</v>
      </c>
      <c r="J35" s="121">
        <v>33786.032222222195</v>
      </c>
      <c r="K35" s="122" t="s">
        <v>186</v>
      </c>
      <c r="L35" s="121">
        <v>33786.032222222195</v>
      </c>
      <c r="M35" s="122" t="s">
        <v>186</v>
      </c>
    </row>
    <row r="36" spans="1:13" x14ac:dyDescent="0.25">
      <c r="A36" s="120" t="s">
        <v>26</v>
      </c>
      <c r="B36" s="120" t="s">
        <v>48</v>
      </c>
      <c r="C36" s="120" t="s">
        <v>50</v>
      </c>
      <c r="D36" s="120" t="s">
        <v>30</v>
      </c>
      <c r="E36" s="121">
        <v>197930.57800000015</v>
      </c>
      <c r="F36" s="121">
        <v>197930.57800000015</v>
      </c>
      <c r="G36" s="122" t="s">
        <v>186</v>
      </c>
      <c r="H36" s="121">
        <v>197930.57800000015</v>
      </c>
      <c r="I36" s="122" t="s">
        <v>186</v>
      </c>
      <c r="J36" s="121">
        <v>197930.57800000015</v>
      </c>
      <c r="K36" s="122" t="s">
        <v>186</v>
      </c>
      <c r="L36" s="121">
        <v>197930.57800000015</v>
      </c>
      <c r="M36" s="122" t="s">
        <v>186</v>
      </c>
    </row>
    <row r="37" spans="1:13" ht="45" x14ac:dyDescent="0.25">
      <c r="A37" s="120" t="s">
        <v>26</v>
      </c>
      <c r="B37" s="120" t="s">
        <v>48</v>
      </c>
      <c r="C37" s="120" t="s">
        <v>99</v>
      </c>
      <c r="D37" s="120" t="s">
        <v>40</v>
      </c>
      <c r="E37" s="121">
        <v>48039.180472087894</v>
      </c>
      <c r="F37" s="121">
        <v>48039.180472087894</v>
      </c>
      <c r="G37" s="122" t="s">
        <v>186</v>
      </c>
      <c r="H37" s="121">
        <v>48039.180472087894</v>
      </c>
      <c r="I37" s="122" t="s">
        <v>186</v>
      </c>
      <c r="J37" s="121">
        <v>48039.180472087894</v>
      </c>
      <c r="K37" s="122" t="s">
        <v>186</v>
      </c>
      <c r="L37" s="121">
        <v>48039.180472087894</v>
      </c>
      <c r="M37" s="122" t="s">
        <v>186</v>
      </c>
    </row>
    <row r="38" spans="1:13" x14ac:dyDescent="0.25">
      <c r="A38" s="120" t="s">
        <v>26</v>
      </c>
      <c r="B38" s="120" t="s">
        <v>48</v>
      </c>
      <c r="C38" s="120" t="s">
        <v>49</v>
      </c>
      <c r="D38" s="120" t="s">
        <v>41</v>
      </c>
      <c r="E38" s="121">
        <v>113870.65000791205</v>
      </c>
      <c r="F38" s="121">
        <v>113870.65000791205</v>
      </c>
      <c r="G38" s="122" t="s">
        <v>186</v>
      </c>
      <c r="H38" s="121">
        <v>113870.65000791205</v>
      </c>
      <c r="I38" s="122" t="s">
        <v>186</v>
      </c>
      <c r="J38" s="121">
        <v>113870.65000791205</v>
      </c>
      <c r="K38" s="122" t="s">
        <v>186</v>
      </c>
      <c r="L38" s="121">
        <v>113870.65000791205</v>
      </c>
      <c r="M38" s="122" t="s">
        <v>186</v>
      </c>
    </row>
    <row r="39" spans="1:13" x14ac:dyDescent="0.25">
      <c r="A39" s="120" t="s">
        <v>26</v>
      </c>
      <c r="B39" s="120" t="s">
        <v>48</v>
      </c>
      <c r="C39" s="120" t="s">
        <v>53</v>
      </c>
      <c r="D39" s="120" t="s">
        <v>30</v>
      </c>
      <c r="E39" s="121">
        <v>38583.482900000025</v>
      </c>
      <c r="F39" s="121">
        <v>38583.482900000025</v>
      </c>
      <c r="G39" s="122" t="s">
        <v>186</v>
      </c>
      <c r="H39" s="121">
        <v>38583.482900000025</v>
      </c>
      <c r="I39" s="122" t="s">
        <v>186</v>
      </c>
      <c r="J39" s="121">
        <v>38583.482900000025</v>
      </c>
      <c r="K39" s="122" t="s">
        <v>186</v>
      </c>
      <c r="L39" s="121">
        <v>38583.482900000025</v>
      </c>
      <c r="M39" s="122" t="s">
        <v>186</v>
      </c>
    </row>
    <row r="40" spans="1:13" x14ac:dyDescent="0.25">
      <c r="A40" s="120" t="s">
        <v>26</v>
      </c>
      <c r="B40" s="120" t="s">
        <v>42</v>
      </c>
      <c r="C40" s="120" t="s">
        <v>43</v>
      </c>
      <c r="D40" s="120" t="s">
        <v>30</v>
      </c>
      <c r="E40" s="121">
        <v>117331.45999999999</v>
      </c>
      <c r="F40" s="121">
        <v>117331.45999999999</v>
      </c>
      <c r="G40" s="122" t="s">
        <v>186</v>
      </c>
      <c r="H40" s="121">
        <v>117331.45999999999</v>
      </c>
      <c r="I40" s="122" t="s">
        <v>186</v>
      </c>
      <c r="J40" s="121">
        <v>117331.45999999999</v>
      </c>
      <c r="K40" s="122" t="s">
        <v>186</v>
      </c>
      <c r="L40" s="121">
        <v>117331.45999999999</v>
      </c>
      <c r="M40" s="122" t="s">
        <v>186</v>
      </c>
    </row>
    <row r="41" spans="1:13" ht="45" x14ac:dyDescent="0.25">
      <c r="A41" s="120" t="s">
        <v>26</v>
      </c>
      <c r="B41" s="120" t="s">
        <v>42</v>
      </c>
      <c r="C41" s="120" t="s">
        <v>100</v>
      </c>
      <c r="D41" s="120" t="s">
        <v>40</v>
      </c>
      <c r="E41" s="121">
        <v>31371.858461538464</v>
      </c>
      <c r="F41" s="121">
        <v>31371.858461538464</v>
      </c>
      <c r="G41" s="122" t="s">
        <v>186</v>
      </c>
      <c r="H41" s="121">
        <v>31371.858461538464</v>
      </c>
      <c r="I41" s="122" t="s">
        <v>186</v>
      </c>
      <c r="J41" s="121">
        <v>31371.858461538464</v>
      </c>
      <c r="K41" s="122" t="s">
        <v>186</v>
      </c>
      <c r="L41" s="121">
        <v>31371.858461538464</v>
      </c>
      <c r="M41" s="122" t="s">
        <v>186</v>
      </c>
    </row>
    <row r="42" spans="1:13" x14ac:dyDescent="0.25">
      <c r="A42" s="120" t="s">
        <v>26</v>
      </c>
      <c r="B42" s="120" t="s">
        <v>42</v>
      </c>
      <c r="C42" s="120" t="s">
        <v>44</v>
      </c>
      <c r="D42" s="120" t="s">
        <v>41</v>
      </c>
      <c r="E42" s="121">
        <v>53593.591538461544</v>
      </c>
      <c r="F42" s="121">
        <v>53593.591538461544</v>
      </c>
      <c r="G42" s="122" t="s">
        <v>186</v>
      </c>
      <c r="H42" s="121">
        <v>53593.591538461544</v>
      </c>
      <c r="I42" s="122" t="s">
        <v>186</v>
      </c>
      <c r="J42" s="121">
        <v>53593.591538461544</v>
      </c>
      <c r="K42" s="122" t="s">
        <v>186</v>
      </c>
      <c r="L42" s="121">
        <v>53593.591538461544</v>
      </c>
      <c r="M42" s="122" t="s">
        <v>186</v>
      </c>
    </row>
    <row r="43" spans="1:13" ht="45" x14ac:dyDescent="0.25">
      <c r="A43" s="120" t="s">
        <v>26</v>
      </c>
      <c r="B43" s="120" t="s">
        <v>42</v>
      </c>
      <c r="C43" s="120" t="s">
        <v>156</v>
      </c>
      <c r="D43" s="120" t="s">
        <v>157</v>
      </c>
      <c r="E43" s="121">
        <v>18310.153273878263</v>
      </c>
      <c r="F43" s="121">
        <v>18310.153273878263</v>
      </c>
      <c r="G43" s="122" t="s">
        <v>186</v>
      </c>
      <c r="H43" s="121">
        <v>18310.153273878263</v>
      </c>
      <c r="I43" s="122" t="s">
        <v>186</v>
      </c>
      <c r="J43" s="121">
        <v>18310.153273878263</v>
      </c>
      <c r="K43" s="122" t="s">
        <v>186</v>
      </c>
      <c r="L43" s="121">
        <v>18310.153273878263</v>
      </c>
      <c r="M43" s="122" t="s">
        <v>186</v>
      </c>
    </row>
    <row r="44" spans="1:13" x14ac:dyDescent="0.25">
      <c r="A44" s="120" t="s">
        <v>26</v>
      </c>
      <c r="B44" s="120" t="s">
        <v>42</v>
      </c>
      <c r="C44" s="120" t="s">
        <v>45</v>
      </c>
      <c r="D44" s="120" t="s">
        <v>46</v>
      </c>
      <c r="E44" s="121">
        <v>26811.295865321739</v>
      </c>
      <c r="F44" s="121">
        <v>26811.295865321739</v>
      </c>
      <c r="G44" s="122" t="s">
        <v>186</v>
      </c>
      <c r="H44" s="121">
        <v>26811.295865321739</v>
      </c>
      <c r="I44" s="122" t="s">
        <v>186</v>
      </c>
      <c r="J44" s="121">
        <v>26811.295865321739</v>
      </c>
      <c r="K44" s="122" t="s">
        <v>186</v>
      </c>
      <c r="L44" s="121">
        <v>26811.295865321739</v>
      </c>
      <c r="M44" s="122" t="s">
        <v>186</v>
      </c>
    </row>
    <row r="45" spans="1:13" x14ac:dyDescent="0.25">
      <c r="A45" s="120" t="s">
        <v>26</v>
      </c>
      <c r="B45" s="120" t="s">
        <v>42</v>
      </c>
      <c r="C45" s="120" t="s">
        <v>92</v>
      </c>
      <c r="D45" s="120" t="s">
        <v>30</v>
      </c>
      <c r="E45" s="121">
        <v>19379.126958333338</v>
      </c>
      <c r="F45" s="121">
        <v>19379.126958333338</v>
      </c>
      <c r="G45" s="122" t="s">
        <v>186</v>
      </c>
      <c r="H45" s="121">
        <v>19379.126958333338</v>
      </c>
      <c r="I45" s="122" t="s">
        <v>186</v>
      </c>
      <c r="J45" s="121">
        <v>19379.126958333338</v>
      </c>
      <c r="K45" s="122" t="s">
        <v>186</v>
      </c>
      <c r="L45" s="121">
        <v>19379.126958333338</v>
      </c>
      <c r="M45" s="122" t="s">
        <v>186</v>
      </c>
    </row>
    <row r="46" spans="1:13" x14ac:dyDescent="0.25">
      <c r="A46" s="120" t="s">
        <v>26</v>
      </c>
      <c r="B46" s="120" t="s">
        <v>42</v>
      </c>
      <c r="C46" s="120" t="s">
        <v>158</v>
      </c>
      <c r="D46" s="120" t="s">
        <v>30</v>
      </c>
      <c r="E46" s="121">
        <v>3875.8253916666677</v>
      </c>
      <c r="F46" s="121">
        <v>3875.8253916666677</v>
      </c>
      <c r="G46" s="122" t="s">
        <v>186</v>
      </c>
      <c r="H46" s="121">
        <v>3875.8253916666677</v>
      </c>
      <c r="I46" s="122" t="s">
        <v>186</v>
      </c>
      <c r="J46" s="121">
        <v>3875.8253916666677</v>
      </c>
      <c r="K46" s="122" t="s">
        <v>186</v>
      </c>
      <c r="L46" s="121">
        <v>3875.8253916666677</v>
      </c>
      <c r="M46" s="122" t="s">
        <v>186</v>
      </c>
    </row>
    <row r="47" spans="1:13" x14ac:dyDescent="0.25">
      <c r="A47" s="120" t="s">
        <v>26</v>
      </c>
      <c r="B47" s="120" t="s">
        <v>47</v>
      </c>
      <c r="C47" s="120" t="s">
        <v>47</v>
      </c>
      <c r="D47" s="120" t="s">
        <v>30</v>
      </c>
      <c r="E47" s="121">
        <v>231366.75872000019</v>
      </c>
      <c r="F47" s="121">
        <v>231366.75872000019</v>
      </c>
      <c r="G47" s="122" t="s">
        <v>186</v>
      </c>
      <c r="H47" s="121">
        <v>231366.75872000019</v>
      </c>
      <c r="I47" s="122" t="s">
        <v>186</v>
      </c>
      <c r="J47" s="121">
        <v>231366.75872000019</v>
      </c>
      <c r="K47" s="122" t="s">
        <v>186</v>
      </c>
      <c r="L47" s="121">
        <v>231366.75872000019</v>
      </c>
      <c r="M47" s="122" t="s">
        <v>186</v>
      </c>
    </row>
    <row r="48" spans="1:13" ht="45" x14ac:dyDescent="0.25">
      <c r="A48" s="120" t="s">
        <v>26</v>
      </c>
      <c r="B48" s="120" t="s">
        <v>51</v>
      </c>
      <c r="C48" s="120" t="s">
        <v>73</v>
      </c>
      <c r="D48" s="120" t="s">
        <v>159</v>
      </c>
      <c r="E48" s="121">
        <v>48467.366153846124</v>
      </c>
      <c r="F48" s="121">
        <v>48467.366153846124</v>
      </c>
      <c r="G48" s="122" t="s">
        <v>186</v>
      </c>
      <c r="H48" s="121">
        <v>48467.366153846124</v>
      </c>
      <c r="I48" s="122" t="s">
        <v>186</v>
      </c>
      <c r="J48" s="121">
        <v>48467.366153846124</v>
      </c>
      <c r="K48" s="122" t="s">
        <v>186</v>
      </c>
      <c r="L48" s="121">
        <v>48467.366153846124</v>
      </c>
      <c r="M48" s="122" t="s">
        <v>186</v>
      </c>
    </row>
    <row r="49" spans="1:13" ht="45" x14ac:dyDescent="0.25">
      <c r="A49" s="120" t="s">
        <v>26</v>
      </c>
      <c r="B49" s="120" t="s">
        <v>51</v>
      </c>
      <c r="C49" s="120" t="s">
        <v>73</v>
      </c>
      <c r="D49" s="120" t="s">
        <v>160</v>
      </c>
      <c r="E49" s="121">
        <v>37063.279999999977</v>
      </c>
      <c r="F49" s="121">
        <v>25659.19384615383</v>
      </c>
      <c r="G49" s="122" t="s">
        <v>192</v>
      </c>
      <c r="H49" s="121">
        <v>25659.19384615383</v>
      </c>
      <c r="I49" s="122" t="s">
        <v>192</v>
      </c>
      <c r="J49" s="121">
        <v>22808.172307692294</v>
      </c>
      <c r="K49" s="122" t="s">
        <v>193</v>
      </c>
      <c r="L49" s="121">
        <v>0</v>
      </c>
      <c r="M49" s="122" t="s">
        <v>187</v>
      </c>
    </row>
    <row r="50" spans="1:13" ht="45" x14ac:dyDescent="0.25">
      <c r="A50" s="120" t="s">
        <v>26</v>
      </c>
      <c r="B50" s="120" t="s">
        <v>51</v>
      </c>
      <c r="C50" s="120" t="s">
        <v>73</v>
      </c>
      <c r="D50" s="120" t="s">
        <v>161</v>
      </c>
      <c r="E50" s="121">
        <v>2851.0215384615367</v>
      </c>
      <c r="F50" s="121">
        <v>2851.0215384615367</v>
      </c>
      <c r="G50" s="122" t="s">
        <v>186</v>
      </c>
      <c r="H50" s="121">
        <v>2851.0215384615367</v>
      </c>
      <c r="I50" s="122" t="s">
        <v>186</v>
      </c>
      <c r="J50" s="121">
        <v>0</v>
      </c>
      <c r="K50" s="122" t="s">
        <v>187</v>
      </c>
      <c r="L50" s="121">
        <v>0</v>
      </c>
      <c r="M50" s="122" t="s">
        <v>187</v>
      </c>
    </row>
    <row r="51" spans="1:13" ht="45" x14ac:dyDescent="0.25">
      <c r="A51" s="120" t="s">
        <v>26</v>
      </c>
      <c r="B51" s="120" t="s">
        <v>51</v>
      </c>
      <c r="C51" s="120" t="s">
        <v>72</v>
      </c>
      <c r="D51" s="120" t="s">
        <v>159</v>
      </c>
      <c r="E51" s="121">
        <v>56297.169999999955</v>
      </c>
      <c r="F51" s="121">
        <v>56297.169999999955</v>
      </c>
      <c r="G51" s="122" t="s">
        <v>186</v>
      </c>
      <c r="H51" s="121">
        <v>56297.169999999955</v>
      </c>
      <c r="I51" s="122" t="s">
        <v>186</v>
      </c>
      <c r="J51" s="121">
        <v>56297.169999999955</v>
      </c>
      <c r="K51" s="122" t="s">
        <v>186</v>
      </c>
      <c r="L51" s="121">
        <v>56297.169999999955</v>
      </c>
      <c r="M51" s="122" t="s">
        <v>186</v>
      </c>
    </row>
    <row r="52" spans="1:13" ht="45" x14ac:dyDescent="0.25">
      <c r="A52" s="120" t="s">
        <v>26</v>
      </c>
      <c r="B52" s="120" t="s">
        <v>51</v>
      </c>
      <c r="C52" s="120" t="s">
        <v>72</v>
      </c>
      <c r="D52" s="120" t="s">
        <v>160</v>
      </c>
      <c r="E52" s="121">
        <v>56297.169999999955</v>
      </c>
      <c r="F52" s="121">
        <v>56297.169999999955</v>
      </c>
      <c r="G52" s="122" t="s">
        <v>186</v>
      </c>
      <c r="H52" s="121">
        <v>56297.169999999955</v>
      </c>
      <c r="I52" s="122" t="s">
        <v>186</v>
      </c>
      <c r="J52" s="121">
        <v>56297.169999999955</v>
      </c>
      <c r="K52" s="122" t="s">
        <v>186</v>
      </c>
      <c r="L52" s="121">
        <v>56297.169999999955</v>
      </c>
      <c r="M52" s="122" t="s">
        <v>186</v>
      </c>
    </row>
    <row r="53" spans="1:13" ht="45" x14ac:dyDescent="0.25">
      <c r="A53" s="120" t="s">
        <v>26</v>
      </c>
      <c r="B53" s="120" t="s">
        <v>51</v>
      </c>
      <c r="C53" s="120" t="s">
        <v>69</v>
      </c>
      <c r="D53" s="120" t="s">
        <v>159</v>
      </c>
      <c r="E53" s="121">
        <v>51802.619999999923</v>
      </c>
      <c r="F53" s="121">
        <v>51802.619999999923</v>
      </c>
      <c r="G53" s="122" t="s">
        <v>186</v>
      </c>
      <c r="H53" s="121">
        <v>51802.619999999923</v>
      </c>
      <c r="I53" s="122" t="s">
        <v>186</v>
      </c>
      <c r="J53" s="121">
        <v>51802.619999999923</v>
      </c>
      <c r="K53" s="122" t="s">
        <v>186</v>
      </c>
      <c r="L53" s="121">
        <v>51802.619999999923</v>
      </c>
      <c r="M53" s="122" t="s">
        <v>186</v>
      </c>
    </row>
    <row r="54" spans="1:13" ht="45" x14ac:dyDescent="0.25">
      <c r="A54" s="120" t="s">
        <v>26</v>
      </c>
      <c r="B54" s="120" t="s">
        <v>51</v>
      </c>
      <c r="C54" s="120" t="s">
        <v>69</v>
      </c>
      <c r="D54" s="120" t="s">
        <v>160</v>
      </c>
      <c r="E54" s="121">
        <v>51802.619999999923</v>
      </c>
      <c r="F54" s="121">
        <v>51802.619999999923</v>
      </c>
      <c r="G54" s="122" t="s">
        <v>186</v>
      </c>
      <c r="H54" s="121">
        <v>51802.619999999923</v>
      </c>
      <c r="I54" s="122" t="s">
        <v>186</v>
      </c>
      <c r="J54" s="121">
        <v>51802.619999999923</v>
      </c>
      <c r="K54" s="122" t="s">
        <v>186</v>
      </c>
      <c r="L54" s="121">
        <v>51802.619999999923</v>
      </c>
      <c r="M54" s="122" t="s">
        <v>186</v>
      </c>
    </row>
    <row r="55" spans="1:13" ht="45" x14ac:dyDescent="0.25">
      <c r="A55" s="120" t="s">
        <v>26</v>
      </c>
      <c r="B55" s="120" t="s">
        <v>51</v>
      </c>
      <c r="C55" s="120" t="s">
        <v>68</v>
      </c>
      <c r="D55" s="120" t="s">
        <v>159</v>
      </c>
      <c r="E55" s="121">
        <v>89929.743749999994</v>
      </c>
      <c r="F55" s="121">
        <v>89929.743749999994</v>
      </c>
      <c r="G55" s="122" t="s">
        <v>186</v>
      </c>
      <c r="H55" s="121">
        <v>89929.743749999994</v>
      </c>
      <c r="I55" s="122" t="s">
        <v>186</v>
      </c>
      <c r="J55" s="121">
        <v>89929.743749999994</v>
      </c>
      <c r="K55" s="122" t="s">
        <v>186</v>
      </c>
      <c r="L55" s="121">
        <v>89929.743749999994</v>
      </c>
      <c r="M55" s="122" t="s">
        <v>186</v>
      </c>
    </row>
    <row r="56" spans="1:13" ht="45" x14ac:dyDescent="0.25">
      <c r="A56" s="120" t="s">
        <v>26</v>
      </c>
      <c r="B56" s="120" t="s">
        <v>51</v>
      </c>
      <c r="C56" s="120" t="s">
        <v>68</v>
      </c>
      <c r="D56" s="120" t="s">
        <v>160</v>
      </c>
      <c r="E56" s="121">
        <v>5995.3162499999999</v>
      </c>
      <c r="F56" s="121">
        <v>5995.3162499999999</v>
      </c>
      <c r="G56" s="122" t="s">
        <v>186</v>
      </c>
      <c r="H56" s="121">
        <v>5995.3162499999999</v>
      </c>
      <c r="I56" s="122" t="s">
        <v>186</v>
      </c>
      <c r="J56" s="121">
        <v>5995.3162499999999</v>
      </c>
      <c r="K56" s="122" t="s">
        <v>186</v>
      </c>
      <c r="L56" s="121">
        <v>5995.3162499999999</v>
      </c>
      <c r="M56" s="122" t="s">
        <v>186</v>
      </c>
    </row>
    <row r="57" spans="1:13" ht="45" x14ac:dyDescent="0.25">
      <c r="A57" s="120" t="s">
        <v>26</v>
      </c>
      <c r="B57" s="120" t="s">
        <v>51</v>
      </c>
      <c r="C57" s="120" t="s">
        <v>60</v>
      </c>
      <c r="D57" s="120" t="s">
        <v>159</v>
      </c>
      <c r="E57" s="121">
        <v>84125.098536585356</v>
      </c>
      <c r="F57" s="121">
        <v>84125.098536585356</v>
      </c>
      <c r="G57" s="122" t="s">
        <v>186</v>
      </c>
      <c r="H57" s="121">
        <v>84125.098536585356</v>
      </c>
      <c r="I57" s="122" t="s">
        <v>186</v>
      </c>
      <c r="J57" s="121">
        <v>84125.098536585356</v>
      </c>
      <c r="K57" s="122" t="s">
        <v>186</v>
      </c>
      <c r="L57" s="121">
        <v>84125.098536585356</v>
      </c>
      <c r="M57" s="122" t="s">
        <v>186</v>
      </c>
    </row>
    <row r="58" spans="1:13" ht="45" x14ac:dyDescent="0.25">
      <c r="A58" s="120" t="s">
        <v>26</v>
      </c>
      <c r="B58" s="120" t="s">
        <v>51</v>
      </c>
      <c r="C58" s="120" t="s">
        <v>60</v>
      </c>
      <c r="D58" s="120" t="s">
        <v>160</v>
      </c>
      <c r="E58" s="121">
        <v>11684.041463414633</v>
      </c>
      <c r="F58" s="121">
        <v>11684.041463414633</v>
      </c>
      <c r="G58" s="122" t="s">
        <v>186</v>
      </c>
      <c r="H58" s="121">
        <v>11684.041463414633</v>
      </c>
      <c r="I58" s="122" t="s">
        <v>186</v>
      </c>
      <c r="J58" s="121">
        <v>11684.041463414633</v>
      </c>
      <c r="K58" s="122" t="s">
        <v>186</v>
      </c>
      <c r="L58" s="121">
        <v>11684.041463414633</v>
      </c>
      <c r="M58" s="122" t="s">
        <v>186</v>
      </c>
    </row>
    <row r="59" spans="1:13" ht="45" x14ac:dyDescent="0.25">
      <c r="A59" s="120" t="s">
        <v>26</v>
      </c>
      <c r="B59" s="120" t="s">
        <v>51</v>
      </c>
      <c r="C59" s="120" t="s">
        <v>57</v>
      </c>
      <c r="D59" s="120" t="s">
        <v>159</v>
      </c>
      <c r="E59" s="121">
        <v>92753.886822227039</v>
      </c>
      <c r="F59" s="121">
        <v>92753.886822227039</v>
      </c>
      <c r="G59" s="122" t="s">
        <v>186</v>
      </c>
      <c r="H59" s="121">
        <v>92753.886822227039</v>
      </c>
      <c r="I59" s="122" t="s">
        <v>186</v>
      </c>
      <c r="J59" s="121">
        <v>92753.886822227039</v>
      </c>
      <c r="K59" s="122" t="s">
        <v>186</v>
      </c>
      <c r="L59" s="121">
        <v>92753.886822227039</v>
      </c>
      <c r="M59" s="122" t="s">
        <v>186</v>
      </c>
    </row>
    <row r="60" spans="1:13" ht="45" x14ac:dyDescent="0.25">
      <c r="A60" s="120" t="s">
        <v>26</v>
      </c>
      <c r="B60" s="120" t="s">
        <v>51</v>
      </c>
      <c r="C60" s="120" t="s">
        <v>57</v>
      </c>
      <c r="D60" s="120" t="s">
        <v>160</v>
      </c>
      <c r="E60" s="121">
        <v>2576.4968561729734</v>
      </c>
      <c r="F60" s="121">
        <v>2576.4968561729734</v>
      </c>
      <c r="G60" s="122" t="s">
        <v>186</v>
      </c>
      <c r="H60" s="121">
        <v>2576.4968561729734</v>
      </c>
      <c r="I60" s="122" t="s">
        <v>186</v>
      </c>
      <c r="J60" s="121">
        <v>2576.4968561729734</v>
      </c>
      <c r="K60" s="122" t="s">
        <v>186</v>
      </c>
      <c r="L60" s="121">
        <v>2576.4968561729734</v>
      </c>
      <c r="M60" s="122" t="s">
        <v>186</v>
      </c>
    </row>
    <row r="61" spans="1:13" ht="45" x14ac:dyDescent="0.25">
      <c r="A61" s="120" t="s">
        <v>26</v>
      </c>
      <c r="B61" s="120" t="s">
        <v>51</v>
      </c>
      <c r="C61" s="120" t="s">
        <v>55</v>
      </c>
      <c r="D61" s="120" t="s">
        <v>159</v>
      </c>
      <c r="E61" s="121">
        <v>33687.787500000006</v>
      </c>
      <c r="F61" s="121">
        <v>33687.787500000006</v>
      </c>
      <c r="G61" s="122" t="s">
        <v>186</v>
      </c>
      <c r="H61" s="121">
        <v>33687.787500000006</v>
      </c>
      <c r="I61" s="122" t="s">
        <v>186</v>
      </c>
      <c r="J61" s="121">
        <v>33687.787500000006</v>
      </c>
      <c r="K61" s="122" t="s">
        <v>186</v>
      </c>
      <c r="L61" s="121">
        <v>33687.787500000006</v>
      </c>
      <c r="M61" s="122" t="s">
        <v>186</v>
      </c>
    </row>
    <row r="62" spans="1:13" ht="45" x14ac:dyDescent="0.25">
      <c r="A62" s="120" t="s">
        <v>26</v>
      </c>
      <c r="B62" s="120" t="s">
        <v>51</v>
      </c>
      <c r="C62" s="120" t="s">
        <v>55</v>
      </c>
      <c r="D62" s="120" t="s">
        <v>160</v>
      </c>
      <c r="E62" s="121">
        <v>1464.6864130434785</v>
      </c>
      <c r="F62" s="121">
        <v>1464.6864130434785</v>
      </c>
      <c r="G62" s="122" t="s">
        <v>186</v>
      </c>
      <c r="H62" s="121">
        <v>1464.6864130434785</v>
      </c>
      <c r="I62" s="122" t="s">
        <v>186</v>
      </c>
      <c r="J62" s="121">
        <v>1464.6864130434785</v>
      </c>
      <c r="K62" s="122" t="s">
        <v>186</v>
      </c>
      <c r="L62" s="121">
        <v>1464.6864130434785</v>
      </c>
      <c r="M62" s="122" t="s">
        <v>186</v>
      </c>
    </row>
    <row r="63" spans="1:13" ht="45" x14ac:dyDescent="0.25">
      <c r="A63" s="120" t="s">
        <v>26</v>
      </c>
      <c r="B63" s="120" t="s">
        <v>51</v>
      </c>
      <c r="C63" s="120" t="s">
        <v>55</v>
      </c>
      <c r="D63" s="120" t="s">
        <v>162</v>
      </c>
      <c r="E63" s="121">
        <v>99598.676086956533</v>
      </c>
      <c r="F63" s="121">
        <v>99598.676086956533</v>
      </c>
      <c r="G63" s="122" t="s">
        <v>186</v>
      </c>
      <c r="H63" s="121">
        <v>99598.676086956533</v>
      </c>
      <c r="I63" s="122" t="s">
        <v>186</v>
      </c>
      <c r="J63" s="121">
        <v>99598.676086956533</v>
      </c>
      <c r="K63" s="122" t="s">
        <v>186</v>
      </c>
      <c r="L63" s="121">
        <v>99598.676086956533</v>
      </c>
      <c r="M63" s="122" t="s">
        <v>186</v>
      </c>
    </row>
    <row r="64" spans="1:13" ht="45" x14ac:dyDescent="0.25">
      <c r="A64" s="120" t="s">
        <v>26</v>
      </c>
      <c r="B64" s="120" t="s">
        <v>51</v>
      </c>
      <c r="C64" s="120" t="s">
        <v>52</v>
      </c>
      <c r="D64" s="120" t="s">
        <v>159</v>
      </c>
      <c r="E64" s="121">
        <v>67096.790270270314</v>
      </c>
      <c r="F64" s="121">
        <v>67096.790270270314</v>
      </c>
      <c r="G64" s="122" t="s">
        <v>186</v>
      </c>
      <c r="H64" s="121">
        <v>67096.790270270314</v>
      </c>
      <c r="I64" s="122" t="s">
        <v>186</v>
      </c>
      <c r="J64" s="121">
        <v>67096.790270270314</v>
      </c>
      <c r="K64" s="122" t="s">
        <v>186</v>
      </c>
      <c r="L64" s="121">
        <v>67096.790270270314</v>
      </c>
      <c r="M64" s="122" t="s">
        <v>186</v>
      </c>
    </row>
    <row r="65" spans="1:13" ht="45" x14ac:dyDescent="0.25">
      <c r="A65" s="120" t="s">
        <v>26</v>
      </c>
      <c r="B65" s="120" t="s">
        <v>51</v>
      </c>
      <c r="C65" s="120" t="s">
        <v>52</v>
      </c>
      <c r="D65" s="120" t="s">
        <v>163</v>
      </c>
      <c r="E65" s="121">
        <v>1863.7997297297309</v>
      </c>
      <c r="F65" s="121">
        <v>1863.7997297297309</v>
      </c>
      <c r="G65" s="122" t="s">
        <v>186</v>
      </c>
      <c r="H65" s="121">
        <v>1863.7997297297309</v>
      </c>
      <c r="I65" s="122" t="s">
        <v>186</v>
      </c>
      <c r="J65" s="121">
        <v>1863.7997297297309</v>
      </c>
      <c r="K65" s="122" t="s">
        <v>186</v>
      </c>
      <c r="L65" s="121">
        <v>1863.7997297297309</v>
      </c>
      <c r="M65" s="122" t="s">
        <v>186</v>
      </c>
    </row>
    <row r="66" spans="1:13" ht="30" x14ac:dyDescent="0.25">
      <c r="A66" s="122" t="s">
        <v>114</v>
      </c>
      <c r="B66" s="122" t="s">
        <v>114</v>
      </c>
      <c r="C66" s="122" t="s">
        <v>114</v>
      </c>
      <c r="D66" s="122" t="s">
        <v>114</v>
      </c>
      <c r="E66" s="122" t="s">
        <v>241</v>
      </c>
      <c r="F66" s="122" t="s">
        <v>242</v>
      </c>
      <c r="G66" s="122" t="s">
        <v>114</v>
      </c>
      <c r="H66" s="122" t="s">
        <v>243</v>
      </c>
      <c r="I66" s="122" t="s">
        <v>114</v>
      </c>
      <c r="J66" s="122" t="s">
        <v>244</v>
      </c>
      <c r="K66" s="122" t="s">
        <v>114</v>
      </c>
      <c r="L66" s="122" t="s">
        <v>245</v>
      </c>
      <c r="M66" s="122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F4041-6FD7-4A52-9DBB-65DDE35D563D}">
  <dimension ref="A1:M66"/>
  <sheetViews>
    <sheetView topLeftCell="A54" workbookViewId="0">
      <selection activeCell="A2" sqref="A2:M65"/>
    </sheetView>
  </sheetViews>
  <sheetFormatPr defaultRowHeight="15" x14ac:dyDescent="0.25"/>
  <sheetData>
    <row r="1" spans="1:13" x14ac:dyDescent="0.25">
      <c r="A1" s="115" t="s">
        <v>218</v>
      </c>
      <c r="B1" s="115" t="s">
        <v>231</v>
      </c>
      <c r="C1" s="115" t="s">
        <v>177</v>
      </c>
      <c r="D1" s="115" t="s">
        <v>178</v>
      </c>
      <c r="E1" s="115" t="s">
        <v>179</v>
      </c>
      <c r="F1" s="115" t="s">
        <v>106</v>
      </c>
      <c r="G1" s="115" t="s">
        <v>180</v>
      </c>
      <c r="H1" s="115" t="s">
        <v>108</v>
      </c>
      <c r="I1" s="115" t="s">
        <v>181</v>
      </c>
      <c r="J1" s="115" t="s">
        <v>182</v>
      </c>
      <c r="K1" s="115" t="s">
        <v>183</v>
      </c>
      <c r="L1" s="115" t="s">
        <v>223</v>
      </c>
      <c r="M1" s="115" t="s">
        <v>224</v>
      </c>
    </row>
    <row r="2" spans="1:13" x14ac:dyDescent="0.25">
      <c r="A2" s="116" t="s">
        <v>26</v>
      </c>
      <c r="B2" s="116" t="s">
        <v>54</v>
      </c>
      <c r="C2" s="116" t="s">
        <v>82</v>
      </c>
      <c r="D2" s="116" t="s">
        <v>83</v>
      </c>
      <c r="E2" s="117">
        <v>61548.353999999999</v>
      </c>
      <c r="F2" s="117">
        <v>0</v>
      </c>
      <c r="G2" s="118" t="s">
        <v>187</v>
      </c>
      <c r="H2" s="117">
        <v>0</v>
      </c>
      <c r="I2" s="118" t="s">
        <v>187</v>
      </c>
      <c r="J2" s="117">
        <v>0</v>
      </c>
      <c r="K2" s="118" t="s">
        <v>187</v>
      </c>
      <c r="L2" s="117">
        <v>0</v>
      </c>
      <c r="M2" s="118" t="s">
        <v>187</v>
      </c>
    </row>
    <row r="3" spans="1:13" x14ac:dyDescent="0.25">
      <c r="A3" s="116" t="s">
        <v>26</v>
      </c>
      <c r="B3" s="116" t="s">
        <v>54</v>
      </c>
      <c r="C3" s="116" t="s">
        <v>84</v>
      </c>
      <c r="D3" s="116" t="s">
        <v>83</v>
      </c>
      <c r="E3" s="117">
        <v>61548.354399999989</v>
      </c>
      <c r="F3" s="117">
        <v>0</v>
      </c>
      <c r="G3" s="118" t="s">
        <v>187</v>
      </c>
      <c r="H3" s="117">
        <v>0</v>
      </c>
      <c r="I3" s="118" t="s">
        <v>187</v>
      </c>
      <c r="J3" s="117">
        <v>0</v>
      </c>
      <c r="K3" s="118" t="s">
        <v>187</v>
      </c>
      <c r="L3" s="117">
        <v>0</v>
      </c>
      <c r="M3" s="118" t="s">
        <v>187</v>
      </c>
    </row>
    <row r="4" spans="1:13" x14ac:dyDescent="0.25">
      <c r="A4" s="116" t="s">
        <v>26</v>
      </c>
      <c r="B4" s="116" t="s">
        <v>54</v>
      </c>
      <c r="C4" s="116" t="s">
        <v>94</v>
      </c>
      <c r="D4" s="116" t="s">
        <v>101</v>
      </c>
      <c r="E4" s="117">
        <v>116529.73999999999</v>
      </c>
      <c r="F4" s="117">
        <v>67975.681666666671</v>
      </c>
      <c r="G4" s="118" t="s">
        <v>226</v>
      </c>
      <c r="H4" s="117">
        <v>48554.058333333334</v>
      </c>
      <c r="I4" s="118" t="s">
        <v>227</v>
      </c>
      <c r="J4" s="117">
        <v>14566.217499999999</v>
      </c>
      <c r="K4" s="118" t="s">
        <v>203</v>
      </c>
      <c r="L4" s="117">
        <v>0</v>
      </c>
      <c r="M4" s="118" t="s">
        <v>187</v>
      </c>
    </row>
    <row r="5" spans="1:13" ht="30" x14ac:dyDescent="0.25">
      <c r="A5" s="116" t="s">
        <v>26</v>
      </c>
      <c r="B5" s="116" t="s">
        <v>54</v>
      </c>
      <c r="C5" s="116" t="s">
        <v>79</v>
      </c>
      <c r="D5" s="116" t="s">
        <v>59</v>
      </c>
      <c r="E5" s="117">
        <v>66526.931673225015</v>
      </c>
      <c r="F5" s="117">
        <v>66526.931673225015</v>
      </c>
      <c r="G5" s="118" t="s">
        <v>186</v>
      </c>
      <c r="H5" s="117">
        <v>66526.931673225015</v>
      </c>
      <c r="I5" s="118" t="s">
        <v>186</v>
      </c>
      <c r="J5" s="117">
        <v>66526.931673225015</v>
      </c>
      <c r="K5" s="118" t="s">
        <v>186</v>
      </c>
      <c r="L5" s="117">
        <v>66526.931673225015</v>
      </c>
      <c r="M5" s="118" t="s">
        <v>186</v>
      </c>
    </row>
    <row r="6" spans="1:13" ht="30" x14ac:dyDescent="0.25">
      <c r="A6" s="116" t="s">
        <v>26</v>
      </c>
      <c r="B6" s="116" t="s">
        <v>54</v>
      </c>
      <c r="C6" s="116" t="s">
        <v>80</v>
      </c>
      <c r="D6" s="116" t="s">
        <v>59</v>
      </c>
      <c r="E6" s="117">
        <v>27322.570000000014</v>
      </c>
      <c r="F6" s="117">
        <v>27322.570000000014</v>
      </c>
      <c r="G6" s="118" t="s">
        <v>186</v>
      </c>
      <c r="H6" s="117">
        <v>27322.570000000014</v>
      </c>
      <c r="I6" s="118" t="s">
        <v>186</v>
      </c>
      <c r="J6" s="117">
        <v>27322.570000000014</v>
      </c>
      <c r="K6" s="118" t="s">
        <v>186</v>
      </c>
      <c r="L6" s="117">
        <v>27322.570000000014</v>
      </c>
      <c r="M6" s="118" t="s">
        <v>186</v>
      </c>
    </row>
    <row r="7" spans="1:13" ht="30" x14ac:dyDescent="0.25">
      <c r="A7" s="116" t="s">
        <v>26</v>
      </c>
      <c r="B7" s="116" t="s">
        <v>54</v>
      </c>
      <c r="C7" s="116" t="s">
        <v>89</v>
      </c>
      <c r="D7" s="116" t="s">
        <v>59</v>
      </c>
      <c r="E7" s="117">
        <v>7738.8999999999987</v>
      </c>
      <c r="F7" s="117">
        <v>7738.8999999999987</v>
      </c>
      <c r="G7" s="118" t="s">
        <v>186</v>
      </c>
      <c r="H7" s="117">
        <v>7738.8999999999987</v>
      </c>
      <c r="I7" s="118" t="s">
        <v>186</v>
      </c>
      <c r="J7" s="117">
        <v>7738.8999999999987</v>
      </c>
      <c r="K7" s="118" t="s">
        <v>186</v>
      </c>
      <c r="L7" s="117">
        <v>7738.8999999999987</v>
      </c>
      <c r="M7" s="118" t="s">
        <v>186</v>
      </c>
    </row>
    <row r="8" spans="1:13" ht="30" x14ac:dyDescent="0.25">
      <c r="A8" s="116" t="s">
        <v>26</v>
      </c>
      <c r="B8" s="116" t="s">
        <v>54</v>
      </c>
      <c r="C8" s="116" t="s">
        <v>90</v>
      </c>
      <c r="D8" s="116" t="s">
        <v>59</v>
      </c>
      <c r="E8" s="117">
        <v>12606.7</v>
      </c>
      <c r="F8" s="117">
        <v>12606.7</v>
      </c>
      <c r="G8" s="118" t="s">
        <v>186</v>
      </c>
      <c r="H8" s="117">
        <v>12606.7</v>
      </c>
      <c r="I8" s="118" t="s">
        <v>186</v>
      </c>
      <c r="J8" s="117">
        <v>12606.7</v>
      </c>
      <c r="K8" s="118" t="s">
        <v>186</v>
      </c>
      <c r="L8" s="117">
        <v>12606.7</v>
      </c>
      <c r="M8" s="118" t="s">
        <v>186</v>
      </c>
    </row>
    <row r="9" spans="1:13" ht="30" x14ac:dyDescent="0.25">
      <c r="A9" s="116" t="s">
        <v>26</v>
      </c>
      <c r="B9" s="116" t="s">
        <v>54</v>
      </c>
      <c r="C9" s="116" t="s">
        <v>87</v>
      </c>
      <c r="D9" s="116" t="s">
        <v>59</v>
      </c>
      <c r="E9" s="117">
        <v>11821.399999999996</v>
      </c>
      <c r="F9" s="117">
        <v>11821.399999999996</v>
      </c>
      <c r="G9" s="118" t="s">
        <v>186</v>
      </c>
      <c r="H9" s="117">
        <v>11821.399999999996</v>
      </c>
      <c r="I9" s="118" t="s">
        <v>186</v>
      </c>
      <c r="J9" s="117">
        <v>11821.399999999996</v>
      </c>
      <c r="K9" s="118" t="s">
        <v>186</v>
      </c>
      <c r="L9" s="117">
        <v>11821.399999999996</v>
      </c>
      <c r="M9" s="118" t="s">
        <v>186</v>
      </c>
    </row>
    <row r="10" spans="1:13" ht="30" x14ac:dyDescent="0.25">
      <c r="A10" s="116" t="s">
        <v>26</v>
      </c>
      <c r="B10" s="116" t="s">
        <v>54</v>
      </c>
      <c r="C10" s="116" t="s">
        <v>93</v>
      </c>
      <c r="D10" s="116" t="s">
        <v>59</v>
      </c>
      <c r="E10" s="117">
        <v>13649.199999999999</v>
      </c>
      <c r="F10" s="117">
        <v>13649.199999999999</v>
      </c>
      <c r="G10" s="118" t="s">
        <v>186</v>
      </c>
      <c r="H10" s="117">
        <v>13649.199999999999</v>
      </c>
      <c r="I10" s="118" t="s">
        <v>186</v>
      </c>
      <c r="J10" s="117">
        <v>13649.199999999999</v>
      </c>
      <c r="K10" s="118" t="s">
        <v>186</v>
      </c>
      <c r="L10" s="117">
        <v>13649.199999999999</v>
      </c>
      <c r="M10" s="118" t="s">
        <v>186</v>
      </c>
    </row>
    <row r="11" spans="1:13" ht="30" x14ac:dyDescent="0.25">
      <c r="A11" s="116" t="s">
        <v>26</v>
      </c>
      <c r="B11" s="116" t="s">
        <v>54</v>
      </c>
      <c r="C11" s="116" t="s">
        <v>58</v>
      </c>
      <c r="D11" s="116" t="s">
        <v>59</v>
      </c>
      <c r="E11" s="117">
        <v>18010.695291250006</v>
      </c>
      <c r="F11" s="117">
        <v>18010.695291250006</v>
      </c>
      <c r="G11" s="118" t="s">
        <v>186</v>
      </c>
      <c r="H11" s="117">
        <v>18010.695291250006</v>
      </c>
      <c r="I11" s="118" t="s">
        <v>186</v>
      </c>
      <c r="J11" s="117">
        <v>18010.695291250006</v>
      </c>
      <c r="K11" s="118" t="s">
        <v>186</v>
      </c>
      <c r="L11" s="117">
        <v>18010.695291250006</v>
      </c>
      <c r="M11" s="118" t="s">
        <v>186</v>
      </c>
    </row>
    <row r="12" spans="1:13" ht="30" x14ac:dyDescent="0.25">
      <c r="A12" s="116" t="s">
        <v>26</v>
      </c>
      <c r="B12" s="116" t="s">
        <v>54</v>
      </c>
      <c r="C12" s="116" t="s">
        <v>77</v>
      </c>
      <c r="D12" s="116" t="s">
        <v>59</v>
      </c>
      <c r="E12" s="117">
        <v>14499.954724850006</v>
      </c>
      <c r="F12" s="117">
        <v>14499.954724850006</v>
      </c>
      <c r="G12" s="118" t="s">
        <v>186</v>
      </c>
      <c r="H12" s="117">
        <v>14499.954724850006</v>
      </c>
      <c r="I12" s="118" t="s">
        <v>186</v>
      </c>
      <c r="J12" s="117">
        <v>14499.954724850006</v>
      </c>
      <c r="K12" s="118" t="s">
        <v>186</v>
      </c>
      <c r="L12" s="117">
        <v>14499.954724850006</v>
      </c>
      <c r="M12" s="118" t="s">
        <v>186</v>
      </c>
    </row>
    <row r="13" spans="1:13" ht="45" x14ac:dyDescent="0.25">
      <c r="A13" s="116" t="s">
        <v>26</v>
      </c>
      <c r="B13" s="116" t="s">
        <v>54</v>
      </c>
      <c r="C13" s="116" t="s">
        <v>62</v>
      </c>
      <c r="D13" s="116" t="s">
        <v>164</v>
      </c>
      <c r="E13" s="117">
        <v>83412.565384615358</v>
      </c>
      <c r="F13" s="117">
        <v>75468.51153846152</v>
      </c>
      <c r="G13" s="118" t="s">
        <v>194</v>
      </c>
      <c r="H13" s="117">
        <v>49650.336538461524</v>
      </c>
      <c r="I13" s="118" t="s">
        <v>232</v>
      </c>
      <c r="J13" s="117">
        <v>39720.26923076922</v>
      </c>
      <c r="K13" s="118" t="s">
        <v>233</v>
      </c>
      <c r="L13" s="117">
        <v>0</v>
      </c>
      <c r="M13" s="118" t="s">
        <v>187</v>
      </c>
    </row>
    <row r="14" spans="1:13" ht="45" x14ac:dyDescent="0.25">
      <c r="A14" s="116" t="s">
        <v>26</v>
      </c>
      <c r="B14" s="116" t="s">
        <v>54</v>
      </c>
      <c r="C14" s="116" t="s">
        <v>62</v>
      </c>
      <c r="D14" s="116" t="s">
        <v>165</v>
      </c>
      <c r="E14" s="117">
        <v>19860.13461538461</v>
      </c>
      <c r="F14" s="117">
        <v>7944.0538461538445</v>
      </c>
      <c r="G14" s="118" t="s">
        <v>197</v>
      </c>
      <c r="H14" s="117">
        <v>1986.0134615384611</v>
      </c>
      <c r="I14" s="118" t="s">
        <v>234</v>
      </c>
      <c r="J14" s="117">
        <v>0</v>
      </c>
      <c r="K14" s="118" t="s">
        <v>187</v>
      </c>
      <c r="L14" s="117">
        <v>0</v>
      </c>
      <c r="M14" s="118" t="s">
        <v>187</v>
      </c>
    </row>
    <row r="15" spans="1:13" ht="45" x14ac:dyDescent="0.25">
      <c r="A15" s="116" t="s">
        <v>26</v>
      </c>
      <c r="B15" s="116" t="s">
        <v>54</v>
      </c>
      <c r="C15" s="116" t="s">
        <v>64</v>
      </c>
      <c r="D15" s="116" t="s">
        <v>164</v>
      </c>
      <c r="E15" s="117">
        <v>53557.390769230769</v>
      </c>
      <c r="F15" s="117">
        <v>53557.390769230769</v>
      </c>
      <c r="G15" s="118" t="s">
        <v>186</v>
      </c>
      <c r="H15" s="117">
        <v>53557.390769230769</v>
      </c>
      <c r="I15" s="118" t="s">
        <v>186</v>
      </c>
      <c r="J15" s="117">
        <v>53557.390769230769</v>
      </c>
      <c r="K15" s="118" t="s">
        <v>186</v>
      </c>
      <c r="L15" s="117">
        <v>53557.390769230769</v>
      </c>
      <c r="M15" s="118" t="s">
        <v>186</v>
      </c>
    </row>
    <row r="16" spans="1:13" ht="45" x14ac:dyDescent="0.25">
      <c r="A16" s="116" t="s">
        <v>26</v>
      </c>
      <c r="B16" s="116" t="s">
        <v>54</v>
      </c>
      <c r="C16" s="116" t="s">
        <v>64</v>
      </c>
      <c r="D16" s="116" t="s">
        <v>165</v>
      </c>
      <c r="E16" s="117">
        <v>33473.369230769233</v>
      </c>
      <c r="F16" s="117">
        <v>33473.369230769233</v>
      </c>
      <c r="G16" s="118" t="s">
        <v>186</v>
      </c>
      <c r="H16" s="117">
        <v>33473.369230769233</v>
      </c>
      <c r="I16" s="118" t="s">
        <v>186</v>
      </c>
      <c r="J16" s="117">
        <v>33473.369230769233</v>
      </c>
      <c r="K16" s="118" t="s">
        <v>186</v>
      </c>
      <c r="L16" s="117">
        <v>33473.369230769233</v>
      </c>
      <c r="M16" s="118" t="s">
        <v>186</v>
      </c>
    </row>
    <row r="17" spans="1:13" ht="45" x14ac:dyDescent="0.25">
      <c r="A17" s="116" t="s">
        <v>26</v>
      </c>
      <c r="B17" s="116" t="s">
        <v>54</v>
      </c>
      <c r="C17" s="116" t="s">
        <v>71</v>
      </c>
      <c r="D17" s="116" t="s">
        <v>164</v>
      </c>
      <c r="E17" s="117">
        <v>82046.400000000009</v>
      </c>
      <c r="F17" s="117">
        <v>82046.400000000009</v>
      </c>
      <c r="G17" s="118" t="s">
        <v>186</v>
      </c>
      <c r="H17" s="117">
        <v>82046.400000000009</v>
      </c>
      <c r="I17" s="118" t="s">
        <v>186</v>
      </c>
      <c r="J17" s="117">
        <v>82046.400000000009</v>
      </c>
      <c r="K17" s="118" t="s">
        <v>186</v>
      </c>
      <c r="L17" s="117">
        <v>82046.400000000009</v>
      </c>
      <c r="M17" s="118" t="s">
        <v>186</v>
      </c>
    </row>
    <row r="18" spans="1:13" ht="45" x14ac:dyDescent="0.25">
      <c r="A18" s="116" t="s">
        <v>26</v>
      </c>
      <c r="B18" s="116" t="s">
        <v>54</v>
      </c>
      <c r="C18" s="116" t="s">
        <v>75</v>
      </c>
      <c r="D18" s="116" t="s">
        <v>164</v>
      </c>
      <c r="E18" s="117">
        <v>80497.16</v>
      </c>
      <c r="F18" s="117">
        <v>80497.16</v>
      </c>
      <c r="G18" s="118" t="s">
        <v>186</v>
      </c>
      <c r="H18" s="117">
        <v>80497.16</v>
      </c>
      <c r="I18" s="118" t="s">
        <v>186</v>
      </c>
      <c r="J18" s="117">
        <v>80497.16</v>
      </c>
      <c r="K18" s="118" t="s">
        <v>186</v>
      </c>
      <c r="L18" s="117">
        <v>80497.16</v>
      </c>
      <c r="M18" s="118" t="s">
        <v>186</v>
      </c>
    </row>
    <row r="19" spans="1:13" ht="45" x14ac:dyDescent="0.25">
      <c r="A19" s="116" t="s">
        <v>26</v>
      </c>
      <c r="B19" s="116" t="s">
        <v>54</v>
      </c>
      <c r="C19" s="116" t="s">
        <v>81</v>
      </c>
      <c r="D19" s="116" t="s">
        <v>165</v>
      </c>
      <c r="E19" s="117">
        <v>89010.219999999987</v>
      </c>
      <c r="F19" s="117">
        <v>89010.219999999987</v>
      </c>
      <c r="G19" s="118" t="s">
        <v>186</v>
      </c>
      <c r="H19" s="117">
        <v>89010.219999999987</v>
      </c>
      <c r="I19" s="118" t="s">
        <v>186</v>
      </c>
      <c r="J19" s="117">
        <v>89010.219999999987</v>
      </c>
      <c r="K19" s="118" t="s">
        <v>186</v>
      </c>
      <c r="L19" s="117">
        <v>89010.219999999987</v>
      </c>
      <c r="M19" s="118" t="s">
        <v>186</v>
      </c>
    </row>
    <row r="20" spans="1:13" ht="45" x14ac:dyDescent="0.25">
      <c r="A20" s="116" t="s">
        <v>26</v>
      </c>
      <c r="B20" s="116" t="s">
        <v>54</v>
      </c>
      <c r="C20" s="116" t="s">
        <v>85</v>
      </c>
      <c r="D20" s="116" t="s">
        <v>165</v>
      </c>
      <c r="E20" s="117">
        <v>88239.10000000002</v>
      </c>
      <c r="F20" s="117">
        <v>88239.10000000002</v>
      </c>
      <c r="G20" s="118" t="s">
        <v>186</v>
      </c>
      <c r="H20" s="117">
        <v>88239.10000000002</v>
      </c>
      <c r="I20" s="118" t="s">
        <v>186</v>
      </c>
      <c r="J20" s="117">
        <v>88239.10000000002</v>
      </c>
      <c r="K20" s="118" t="s">
        <v>186</v>
      </c>
      <c r="L20" s="117">
        <v>88239.10000000002</v>
      </c>
      <c r="M20" s="118" t="s">
        <v>186</v>
      </c>
    </row>
    <row r="21" spans="1:13" ht="45" x14ac:dyDescent="0.25">
      <c r="A21" s="116" t="s">
        <v>26</v>
      </c>
      <c r="B21" s="116" t="s">
        <v>54</v>
      </c>
      <c r="C21" s="116" t="s">
        <v>86</v>
      </c>
      <c r="D21" s="116" t="s">
        <v>164</v>
      </c>
      <c r="E21" s="117">
        <v>20377.497966666666</v>
      </c>
      <c r="F21" s="117">
        <v>3396.249661111111</v>
      </c>
      <c r="G21" s="118" t="s">
        <v>205</v>
      </c>
      <c r="H21" s="117">
        <v>0</v>
      </c>
      <c r="I21" s="118" t="s">
        <v>187</v>
      </c>
      <c r="J21" s="117">
        <v>0</v>
      </c>
      <c r="K21" s="118" t="s">
        <v>187</v>
      </c>
      <c r="L21" s="117">
        <v>0</v>
      </c>
      <c r="M21" s="118" t="s">
        <v>187</v>
      </c>
    </row>
    <row r="22" spans="1:13" ht="45" x14ac:dyDescent="0.25">
      <c r="A22" s="116" t="s">
        <v>26</v>
      </c>
      <c r="B22" s="116" t="s">
        <v>54</v>
      </c>
      <c r="C22" s="116" t="s">
        <v>86</v>
      </c>
      <c r="D22" s="116" t="s">
        <v>165</v>
      </c>
      <c r="E22" s="117">
        <v>40754.995933333332</v>
      </c>
      <c r="F22" s="117">
        <v>3396.249661111111</v>
      </c>
      <c r="G22" s="118" t="s">
        <v>204</v>
      </c>
      <c r="H22" s="117">
        <v>3396.249661111111</v>
      </c>
      <c r="I22" s="118" t="s">
        <v>204</v>
      </c>
      <c r="J22" s="117">
        <v>0</v>
      </c>
      <c r="K22" s="118" t="s">
        <v>187</v>
      </c>
      <c r="L22" s="117">
        <v>0</v>
      </c>
      <c r="M22" s="118" t="s">
        <v>187</v>
      </c>
    </row>
    <row r="23" spans="1:13" ht="45" x14ac:dyDescent="0.25">
      <c r="A23" s="116" t="s">
        <v>26</v>
      </c>
      <c r="B23" s="116" t="s">
        <v>54</v>
      </c>
      <c r="C23" s="116" t="s">
        <v>88</v>
      </c>
      <c r="D23" s="116" t="s">
        <v>164</v>
      </c>
      <c r="E23" s="117">
        <v>37721.30214</v>
      </c>
      <c r="F23" s="117">
        <v>13621.581328333334</v>
      </c>
      <c r="G23" s="118" t="s">
        <v>206</v>
      </c>
      <c r="H23" s="117">
        <v>12573.767379999999</v>
      </c>
      <c r="I23" s="118" t="s">
        <v>207</v>
      </c>
      <c r="J23" s="117">
        <v>9430.3255349999999</v>
      </c>
      <c r="K23" s="118" t="s">
        <v>208</v>
      </c>
      <c r="L23" s="117">
        <v>0</v>
      </c>
      <c r="M23" s="118" t="s">
        <v>187</v>
      </c>
    </row>
    <row r="24" spans="1:13" ht="45" x14ac:dyDescent="0.25">
      <c r="A24" s="116" t="s">
        <v>26</v>
      </c>
      <c r="B24" s="116" t="s">
        <v>54</v>
      </c>
      <c r="C24" s="116" t="s">
        <v>88</v>
      </c>
      <c r="D24" s="116" t="s">
        <v>165</v>
      </c>
      <c r="E24" s="117">
        <v>25147.534760000002</v>
      </c>
      <c r="F24" s="117">
        <v>0</v>
      </c>
      <c r="G24" s="118" t="s">
        <v>187</v>
      </c>
      <c r="H24" s="117">
        <v>0</v>
      </c>
      <c r="I24" s="118" t="s">
        <v>187</v>
      </c>
      <c r="J24" s="117">
        <v>0</v>
      </c>
      <c r="K24" s="118" t="s">
        <v>187</v>
      </c>
      <c r="L24" s="117">
        <v>0</v>
      </c>
      <c r="M24" s="118" t="s">
        <v>187</v>
      </c>
    </row>
    <row r="25" spans="1:13" ht="45" x14ac:dyDescent="0.25">
      <c r="A25" s="116" t="s">
        <v>26</v>
      </c>
      <c r="B25" s="116" t="s">
        <v>54</v>
      </c>
      <c r="C25" s="116" t="s">
        <v>91</v>
      </c>
      <c r="D25" s="116" t="s">
        <v>164</v>
      </c>
      <c r="E25" s="117">
        <v>51218.906666666669</v>
      </c>
      <c r="F25" s="117">
        <v>0</v>
      </c>
      <c r="G25" s="118" t="s">
        <v>187</v>
      </c>
      <c r="H25" s="117">
        <v>0</v>
      </c>
      <c r="I25" s="118" t="s">
        <v>187</v>
      </c>
      <c r="J25" s="117">
        <v>0</v>
      </c>
      <c r="K25" s="118" t="s">
        <v>187</v>
      </c>
      <c r="L25" s="117">
        <v>0</v>
      </c>
      <c r="M25" s="118" t="s">
        <v>187</v>
      </c>
    </row>
    <row r="26" spans="1:13" ht="45" x14ac:dyDescent="0.25">
      <c r="A26" s="116" t="s">
        <v>26</v>
      </c>
      <c r="B26" s="116" t="s">
        <v>54</v>
      </c>
      <c r="C26" s="116" t="s">
        <v>91</v>
      </c>
      <c r="D26" s="116" t="s">
        <v>165</v>
      </c>
      <c r="E26" s="117">
        <v>25609.453333333335</v>
      </c>
      <c r="F26" s="117">
        <v>0</v>
      </c>
      <c r="G26" s="118" t="s">
        <v>187</v>
      </c>
      <c r="H26" s="117">
        <v>0</v>
      </c>
      <c r="I26" s="118" t="s">
        <v>187</v>
      </c>
      <c r="J26" s="117">
        <v>0</v>
      </c>
      <c r="K26" s="118" t="s">
        <v>187</v>
      </c>
      <c r="L26" s="117">
        <v>0</v>
      </c>
      <c r="M26" s="118" t="s">
        <v>187</v>
      </c>
    </row>
    <row r="27" spans="1:13" x14ac:dyDescent="0.25">
      <c r="A27" s="116" t="s">
        <v>26</v>
      </c>
      <c r="B27" s="116" t="s">
        <v>27</v>
      </c>
      <c r="C27" s="116" t="s">
        <v>28</v>
      </c>
      <c r="D27" s="116" t="s">
        <v>30</v>
      </c>
      <c r="E27" s="117">
        <v>96552.957720588165</v>
      </c>
      <c r="F27" s="117">
        <v>96552.957720588165</v>
      </c>
      <c r="G27" s="118" t="s">
        <v>186</v>
      </c>
      <c r="H27" s="117">
        <v>96552.957720588165</v>
      </c>
      <c r="I27" s="118" t="s">
        <v>186</v>
      </c>
      <c r="J27" s="117">
        <v>96552.957720588165</v>
      </c>
      <c r="K27" s="118" t="s">
        <v>186</v>
      </c>
      <c r="L27" s="117">
        <v>96552.957720588165</v>
      </c>
      <c r="M27" s="118" t="s">
        <v>186</v>
      </c>
    </row>
    <row r="28" spans="1:13" ht="45" x14ac:dyDescent="0.25">
      <c r="A28" s="116" t="s">
        <v>26</v>
      </c>
      <c r="B28" s="116" t="s">
        <v>27</v>
      </c>
      <c r="C28" s="116" t="s">
        <v>96</v>
      </c>
      <c r="D28" s="116" t="s">
        <v>32</v>
      </c>
      <c r="E28" s="117">
        <v>7161.8114376280319</v>
      </c>
      <c r="F28" s="117">
        <v>7161.8114376280319</v>
      </c>
      <c r="G28" s="118" t="s">
        <v>186</v>
      </c>
      <c r="H28" s="117">
        <v>7161.8114376280319</v>
      </c>
      <c r="I28" s="118" t="s">
        <v>186</v>
      </c>
      <c r="J28" s="117">
        <v>7161.8114376280319</v>
      </c>
      <c r="K28" s="118" t="s">
        <v>186</v>
      </c>
      <c r="L28" s="117">
        <v>7161.8114376280319</v>
      </c>
      <c r="M28" s="118" t="s">
        <v>186</v>
      </c>
    </row>
    <row r="29" spans="1:13" x14ac:dyDescent="0.25">
      <c r="A29" s="116" t="s">
        <v>26</v>
      </c>
      <c r="B29" s="116" t="s">
        <v>27</v>
      </c>
      <c r="C29" s="116" t="s">
        <v>31</v>
      </c>
      <c r="D29" s="116" t="s">
        <v>33</v>
      </c>
      <c r="E29" s="117">
        <v>108361.32088237196</v>
      </c>
      <c r="F29" s="117">
        <v>108361.32088237196</v>
      </c>
      <c r="G29" s="118" t="s">
        <v>186</v>
      </c>
      <c r="H29" s="117">
        <v>108361.32088237196</v>
      </c>
      <c r="I29" s="118" t="s">
        <v>186</v>
      </c>
      <c r="J29" s="117">
        <v>108361.32088237196</v>
      </c>
      <c r="K29" s="118" t="s">
        <v>186</v>
      </c>
      <c r="L29" s="117">
        <v>108361.32088237196</v>
      </c>
      <c r="M29" s="118" t="s">
        <v>186</v>
      </c>
    </row>
    <row r="30" spans="1:13" ht="45" x14ac:dyDescent="0.25">
      <c r="A30" s="116" t="s">
        <v>26</v>
      </c>
      <c r="B30" s="116" t="s">
        <v>27</v>
      </c>
      <c r="C30" s="116" t="s">
        <v>97</v>
      </c>
      <c r="D30" s="116" t="s">
        <v>35</v>
      </c>
      <c r="E30" s="117">
        <v>28819.23</v>
      </c>
      <c r="F30" s="117">
        <v>28819.23</v>
      </c>
      <c r="G30" s="118" t="s">
        <v>186</v>
      </c>
      <c r="H30" s="117">
        <v>28819.23</v>
      </c>
      <c r="I30" s="118" t="s">
        <v>186</v>
      </c>
      <c r="J30" s="117">
        <v>28819.23</v>
      </c>
      <c r="K30" s="118" t="s">
        <v>186</v>
      </c>
      <c r="L30" s="117">
        <v>28819.23</v>
      </c>
      <c r="M30" s="118" t="s">
        <v>186</v>
      </c>
    </row>
    <row r="31" spans="1:13" x14ac:dyDescent="0.25">
      <c r="A31" s="116" t="s">
        <v>26</v>
      </c>
      <c r="B31" s="116" t="s">
        <v>27</v>
      </c>
      <c r="C31" s="116" t="s">
        <v>34</v>
      </c>
      <c r="D31" s="116" t="s">
        <v>36</v>
      </c>
      <c r="E31" s="117">
        <v>41918.879999999997</v>
      </c>
      <c r="F31" s="117">
        <v>41918.879999999997</v>
      </c>
      <c r="G31" s="118" t="s">
        <v>186</v>
      </c>
      <c r="H31" s="117">
        <v>41918.879999999997</v>
      </c>
      <c r="I31" s="118" t="s">
        <v>186</v>
      </c>
      <c r="J31" s="117">
        <v>41918.879999999997</v>
      </c>
      <c r="K31" s="118" t="s">
        <v>186</v>
      </c>
      <c r="L31" s="117">
        <v>41918.879999999997</v>
      </c>
      <c r="M31" s="118" t="s">
        <v>186</v>
      </c>
    </row>
    <row r="32" spans="1:13" ht="45" x14ac:dyDescent="0.25">
      <c r="A32" s="116" t="s">
        <v>26</v>
      </c>
      <c r="B32" s="116" t="s">
        <v>27</v>
      </c>
      <c r="C32" s="116" t="s">
        <v>154</v>
      </c>
      <c r="D32" s="116" t="s">
        <v>155</v>
      </c>
      <c r="E32" s="117">
        <v>69664.792279411718</v>
      </c>
      <c r="F32" s="117">
        <v>69664.792279411718</v>
      </c>
      <c r="G32" s="118" t="s">
        <v>186</v>
      </c>
      <c r="H32" s="117">
        <v>69664.792279411718</v>
      </c>
      <c r="I32" s="118" t="s">
        <v>186</v>
      </c>
      <c r="J32" s="117">
        <v>69664.792279411718</v>
      </c>
      <c r="K32" s="118" t="s">
        <v>186</v>
      </c>
      <c r="L32" s="117">
        <v>69664.792279411718</v>
      </c>
      <c r="M32" s="118" t="s">
        <v>186</v>
      </c>
    </row>
    <row r="33" spans="1:13" x14ac:dyDescent="0.25">
      <c r="A33" s="116" t="s">
        <v>26</v>
      </c>
      <c r="B33" s="116" t="s">
        <v>37</v>
      </c>
      <c r="C33" s="116" t="s">
        <v>38</v>
      </c>
      <c r="D33" s="116" t="s">
        <v>30</v>
      </c>
      <c r="E33" s="117">
        <v>202798.24999999991</v>
      </c>
      <c r="F33" s="117">
        <v>202798.24999999991</v>
      </c>
      <c r="G33" s="118" t="s">
        <v>186</v>
      </c>
      <c r="H33" s="117">
        <v>202798.24999999991</v>
      </c>
      <c r="I33" s="118" t="s">
        <v>186</v>
      </c>
      <c r="J33" s="117">
        <v>202798.24999999991</v>
      </c>
      <c r="K33" s="118" t="s">
        <v>186</v>
      </c>
      <c r="L33" s="117">
        <v>202798.24999999991</v>
      </c>
      <c r="M33" s="118" t="s">
        <v>186</v>
      </c>
    </row>
    <row r="34" spans="1:13" ht="45" x14ac:dyDescent="0.25">
      <c r="A34" s="116" t="s">
        <v>26</v>
      </c>
      <c r="B34" s="116" t="s">
        <v>37</v>
      </c>
      <c r="C34" s="116" t="s">
        <v>98</v>
      </c>
      <c r="D34" s="116" t="s">
        <v>40</v>
      </c>
      <c r="E34" s="117">
        <v>14225.697777777767</v>
      </c>
      <c r="F34" s="117">
        <v>14225.697777777767</v>
      </c>
      <c r="G34" s="118" t="s">
        <v>186</v>
      </c>
      <c r="H34" s="117">
        <v>14225.697777777767</v>
      </c>
      <c r="I34" s="118" t="s">
        <v>186</v>
      </c>
      <c r="J34" s="117">
        <v>14225.697777777767</v>
      </c>
      <c r="K34" s="118" t="s">
        <v>186</v>
      </c>
      <c r="L34" s="117">
        <v>14225.697777777767</v>
      </c>
      <c r="M34" s="118" t="s">
        <v>186</v>
      </c>
    </row>
    <row r="35" spans="1:13" x14ac:dyDescent="0.25">
      <c r="A35" s="116" t="s">
        <v>26</v>
      </c>
      <c r="B35" s="116" t="s">
        <v>37</v>
      </c>
      <c r="C35" s="116" t="s">
        <v>39</v>
      </c>
      <c r="D35" s="116" t="s">
        <v>41</v>
      </c>
      <c r="E35" s="117">
        <v>33786.032222222195</v>
      </c>
      <c r="F35" s="117">
        <v>33786.032222222195</v>
      </c>
      <c r="G35" s="118" t="s">
        <v>186</v>
      </c>
      <c r="H35" s="117">
        <v>33786.032222222195</v>
      </c>
      <c r="I35" s="118" t="s">
        <v>186</v>
      </c>
      <c r="J35" s="117">
        <v>33786.032222222195</v>
      </c>
      <c r="K35" s="118" t="s">
        <v>186</v>
      </c>
      <c r="L35" s="117">
        <v>33786.032222222195</v>
      </c>
      <c r="M35" s="118" t="s">
        <v>186</v>
      </c>
    </row>
    <row r="36" spans="1:13" x14ac:dyDescent="0.25">
      <c r="A36" s="116" t="s">
        <v>26</v>
      </c>
      <c r="B36" s="116" t="s">
        <v>48</v>
      </c>
      <c r="C36" s="116" t="s">
        <v>50</v>
      </c>
      <c r="D36" s="116" t="s">
        <v>30</v>
      </c>
      <c r="E36" s="117">
        <v>197930.57800000015</v>
      </c>
      <c r="F36" s="117">
        <v>197930.57800000015</v>
      </c>
      <c r="G36" s="118" t="s">
        <v>186</v>
      </c>
      <c r="H36" s="117">
        <v>197930.57800000015</v>
      </c>
      <c r="I36" s="118" t="s">
        <v>186</v>
      </c>
      <c r="J36" s="117">
        <v>197930.57800000015</v>
      </c>
      <c r="K36" s="118" t="s">
        <v>186</v>
      </c>
      <c r="L36" s="117">
        <v>197930.57800000015</v>
      </c>
      <c r="M36" s="118" t="s">
        <v>186</v>
      </c>
    </row>
    <row r="37" spans="1:13" ht="45" x14ac:dyDescent="0.25">
      <c r="A37" s="116" t="s">
        <v>26</v>
      </c>
      <c r="B37" s="116" t="s">
        <v>48</v>
      </c>
      <c r="C37" s="116" t="s">
        <v>99</v>
      </c>
      <c r="D37" s="116" t="s">
        <v>40</v>
      </c>
      <c r="E37" s="117">
        <v>48039.180472087894</v>
      </c>
      <c r="F37" s="117">
        <v>48039.180472087894</v>
      </c>
      <c r="G37" s="118" t="s">
        <v>186</v>
      </c>
      <c r="H37" s="117">
        <v>48039.180472087894</v>
      </c>
      <c r="I37" s="118" t="s">
        <v>186</v>
      </c>
      <c r="J37" s="117">
        <v>48039.180472087894</v>
      </c>
      <c r="K37" s="118" t="s">
        <v>186</v>
      </c>
      <c r="L37" s="117">
        <v>48039.180472087894</v>
      </c>
      <c r="M37" s="118" t="s">
        <v>186</v>
      </c>
    </row>
    <row r="38" spans="1:13" x14ac:dyDescent="0.25">
      <c r="A38" s="116" t="s">
        <v>26</v>
      </c>
      <c r="B38" s="116" t="s">
        <v>48</v>
      </c>
      <c r="C38" s="116" t="s">
        <v>49</v>
      </c>
      <c r="D38" s="116" t="s">
        <v>41</v>
      </c>
      <c r="E38" s="117">
        <v>113870.65000791205</v>
      </c>
      <c r="F38" s="117">
        <v>113870.65000791205</v>
      </c>
      <c r="G38" s="118" t="s">
        <v>186</v>
      </c>
      <c r="H38" s="117">
        <v>113870.65000791205</v>
      </c>
      <c r="I38" s="118" t="s">
        <v>186</v>
      </c>
      <c r="J38" s="117">
        <v>113870.65000791205</v>
      </c>
      <c r="K38" s="118" t="s">
        <v>186</v>
      </c>
      <c r="L38" s="117">
        <v>113870.65000791205</v>
      </c>
      <c r="M38" s="118" t="s">
        <v>186</v>
      </c>
    </row>
    <row r="39" spans="1:13" x14ac:dyDescent="0.25">
      <c r="A39" s="116" t="s">
        <v>26</v>
      </c>
      <c r="B39" s="116" t="s">
        <v>48</v>
      </c>
      <c r="C39" s="116" t="s">
        <v>53</v>
      </c>
      <c r="D39" s="116" t="s">
        <v>30</v>
      </c>
      <c r="E39" s="117">
        <v>38583.482900000025</v>
      </c>
      <c r="F39" s="117">
        <v>38583.482900000025</v>
      </c>
      <c r="G39" s="118" t="s">
        <v>186</v>
      </c>
      <c r="H39" s="117">
        <v>38583.482900000025</v>
      </c>
      <c r="I39" s="118" t="s">
        <v>186</v>
      </c>
      <c r="J39" s="117">
        <v>38583.482900000025</v>
      </c>
      <c r="K39" s="118" t="s">
        <v>186</v>
      </c>
      <c r="L39" s="117">
        <v>38583.482900000025</v>
      </c>
      <c r="M39" s="118" t="s">
        <v>186</v>
      </c>
    </row>
    <row r="40" spans="1:13" x14ac:dyDescent="0.25">
      <c r="A40" s="116" t="s">
        <v>26</v>
      </c>
      <c r="B40" s="116" t="s">
        <v>42</v>
      </c>
      <c r="C40" s="116" t="s">
        <v>43</v>
      </c>
      <c r="D40" s="116" t="s">
        <v>30</v>
      </c>
      <c r="E40" s="117">
        <v>117331.45999999999</v>
      </c>
      <c r="F40" s="117">
        <v>117331.45999999999</v>
      </c>
      <c r="G40" s="118" t="s">
        <v>186</v>
      </c>
      <c r="H40" s="117">
        <v>117331.45999999999</v>
      </c>
      <c r="I40" s="118" t="s">
        <v>186</v>
      </c>
      <c r="J40" s="117">
        <v>117331.45999999999</v>
      </c>
      <c r="K40" s="118" t="s">
        <v>186</v>
      </c>
      <c r="L40" s="117">
        <v>117331.45999999999</v>
      </c>
      <c r="M40" s="118" t="s">
        <v>186</v>
      </c>
    </row>
    <row r="41" spans="1:13" ht="45" x14ac:dyDescent="0.25">
      <c r="A41" s="116" t="s">
        <v>26</v>
      </c>
      <c r="B41" s="116" t="s">
        <v>42</v>
      </c>
      <c r="C41" s="116" t="s">
        <v>100</v>
      </c>
      <c r="D41" s="116" t="s">
        <v>40</v>
      </c>
      <c r="E41" s="117">
        <v>31371.858461538464</v>
      </c>
      <c r="F41" s="117">
        <v>31371.858461538464</v>
      </c>
      <c r="G41" s="118" t="s">
        <v>186</v>
      </c>
      <c r="H41" s="117">
        <v>31371.858461538464</v>
      </c>
      <c r="I41" s="118" t="s">
        <v>186</v>
      </c>
      <c r="J41" s="117">
        <v>31371.858461538464</v>
      </c>
      <c r="K41" s="118" t="s">
        <v>186</v>
      </c>
      <c r="L41" s="117">
        <v>31371.858461538464</v>
      </c>
      <c r="M41" s="118" t="s">
        <v>186</v>
      </c>
    </row>
    <row r="42" spans="1:13" x14ac:dyDescent="0.25">
      <c r="A42" s="116" t="s">
        <v>26</v>
      </c>
      <c r="B42" s="116" t="s">
        <v>42</v>
      </c>
      <c r="C42" s="116" t="s">
        <v>44</v>
      </c>
      <c r="D42" s="116" t="s">
        <v>41</v>
      </c>
      <c r="E42" s="117">
        <v>53593.591538461544</v>
      </c>
      <c r="F42" s="117">
        <v>53593.591538461544</v>
      </c>
      <c r="G42" s="118" t="s">
        <v>186</v>
      </c>
      <c r="H42" s="117">
        <v>53593.591538461544</v>
      </c>
      <c r="I42" s="118" t="s">
        <v>186</v>
      </c>
      <c r="J42" s="117">
        <v>53593.591538461544</v>
      </c>
      <c r="K42" s="118" t="s">
        <v>186</v>
      </c>
      <c r="L42" s="117">
        <v>53593.591538461544</v>
      </c>
      <c r="M42" s="118" t="s">
        <v>186</v>
      </c>
    </row>
    <row r="43" spans="1:13" ht="45" x14ac:dyDescent="0.25">
      <c r="A43" s="116" t="s">
        <v>26</v>
      </c>
      <c r="B43" s="116" t="s">
        <v>42</v>
      </c>
      <c r="C43" s="116" t="s">
        <v>156</v>
      </c>
      <c r="D43" s="116" t="s">
        <v>157</v>
      </c>
      <c r="E43" s="117">
        <v>18310.153273878263</v>
      </c>
      <c r="F43" s="117">
        <v>18310.153273878263</v>
      </c>
      <c r="G43" s="118" t="s">
        <v>186</v>
      </c>
      <c r="H43" s="117">
        <v>18310.153273878263</v>
      </c>
      <c r="I43" s="118" t="s">
        <v>186</v>
      </c>
      <c r="J43" s="117">
        <v>18310.153273878263</v>
      </c>
      <c r="K43" s="118" t="s">
        <v>186</v>
      </c>
      <c r="L43" s="117">
        <v>18310.153273878263</v>
      </c>
      <c r="M43" s="118" t="s">
        <v>186</v>
      </c>
    </row>
    <row r="44" spans="1:13" x14ac:dyDescent="0.25">
      <c r="A44" s="116" t="s">
        <v>26</v>
      </c>
      <c r="B44" s="116" t="s">
        <v>42</v>
      </c>
      <c r="C44" s="116" t="s">
        <v>45</v>
      </c>
      <c r="D44" s="116" t="s">
        <v>46</v>
      </c>
      <c r="E44" s="117">
        <v>26811.295865321739</v>
      </c>
      <c r="F44" s="117">
        <v>26811.295865321739</v>
      </c>
      <c r="G44" s="118" t="s">
        <v>186</v>
      </c>
      <c r="H44" s="117">
        <v>26811.295865321739</v>
      </c>
      <c r="I44" s="118" t="s">
        <v>186</v>
      </c>
      <c r="J44" s="117">
        <v>26811.295865321739</v>
      </c>
      <c r="K44" s="118" t="s">
        <v>186</v>
      </c>
      <c r="L44" s="117">
        <v>26811.295865321739</v>
      </c>
      <c r="M44" s="118" t="s">
        <v>186</v>
      </c>
    </row>
    <row r="45" spans="1:13" x14ac:dyDescent="0.25">
      <c r="A45" s="116" t="s">
        <v>26</v>
      </c>
      <c r="B45" s="116" t="s">
        <v>42</v>
      </c>
      <c r="C45" s="116" t="s">
        <v>92</v>
      </c>
      <c r="D45" s="116" t="s">
        <v>30</v>
      </c>
      <c r="E45" s="117">
        <v>19379.126958333338</v>
      </c>
      <c r="F45" s="117">
        <v>19379.126958333338</v>
      </c>
      <c r="G45" s="118" t="s">
        <v>186</v>
      </c>
      <c r="H45" s="117">
        <v>19379.126958333338</v>
      </c>
      <c r="I45" s="118" t="s">
        <v>186</v>
      </c>
      <c r="J45" s="117">
        <v>19379.126958333338</v>
      </c>
      <c r="K45" s="118" t="s">
        <v>186</v>
      </c>
      <c r="L45" s="117">
        <v>19379.126958333338</v>
      </c>
      <c r="M45" s="118" t="s">
        <v>186</v>
      </c>
    </row>
    <row r="46" spans="1:13" x14ac:dyDescent="0.25">
      <c r="A46" s="116" t="s">
        <v>26</v>
      </c>
      <c r="B46" s="116" t="s">
        <v>42</v>
      </c>
      <c r="C46" s="116" t="s">
        <v>158</v>
      </c>
      <c r="D46" s="116" t="s">
        <v>30</v>
      </c>
      <c r="E46" s="117">
        <v>3875.8253916666677</v>
      </c>
      <c r="F46" s="117">
        <v>3875.8253916666677</v>
      </c>
      <c r="G46" s="118" t="s">
        <v>186</v>
      </c>
      <c r="H46" s="117">
        <v>3875.8253916666677</v>
      </c>
      <c r="I46" s="118" t="s">
        <v>186</v>
      </c>
      <c r="J46" s="117">
        <v>3875.8253916666677</v>
      </c>
      <c r="K46" s="118" t="s">
        <v>186</v>
      </c>
      <c r="L46" s="117">
        <v>3875.8253916666677</v>
      </c>
      <c r="M46" s="118" t="s">
        <v>186</v>
      </c>
    </row>
    <row r="47" spans="1:13" x14ac:dyDescent="0.25">
      <c r="A47" s="116" t="s">
        <v>26</v>
      </c>
      <c r="B47" s="116" t="s">
        <v>47</v>
      </c>
      <c r="C47" s="116" t="s">
        <v>47</v>
      </c>
      <c r="D47" s="116" t="s">
        <v>30</v>
      </c>
      <c r="E47" s="117">
        <v>231366.75872000019</v>
      </c>
      <c r="F47" s="117">
        <v>231366.75872000019</v>
      </c>
      <c r="G47" s="118" t="s">
        <v>186</v>
      </c>
      <c r="H47" s="117">
        <v>231366.75872000019</v>
      </c>
      <c r="I47" s="118" t="s">
        <v>186</v>
      </c>
      <c r="J47" s="117">
        <v>231366.75872000019</v>
      </c>
      <c r="K47" s="118" t="s">
        <v>186</v>
      </c>
      <c r="L47" s="117">
        <v>231366.75872000019</v>
      </c>
      <c r="M47" s="118" t="s">
        <v>186</v>
      </c>
    </row>
    <row r="48" spans="1:13" ht="45" x14ac:dyDescent="0.25">
      <c r="A48" s="116" t="s">
        <v>26</v>
      </c>
      <c r="B48" s="116" t="s">
        <v>51</v>
      </c>
      <c r="C48" s="116" t="s">
        <v>73</v>
      </c>
      <c r="D48" s="116" t="s">
        <v>159</v>
      </c>
      <c r="E48" s="117">
        <v>60975.073548387059</v>
      </c>
      <c r="F48" s="117">
        <v>60975.073548387059</v>
      </c>
      <c r="G48" s="118" t="s">
        <v>186</v>
      </c>
      <c r="H48" s="117">
        <v>60975.073548387059</v>
      </c>
      <c r="I48" s="118" t="s">
        <v>186</v>
      </c>
      <c r="J48" s="117">
        <v>60975.073548387059</v>
      </c>
      <c r="K48" s="118" t="s">
        <v>186</v>
      </c>
      <c r="L48" s="117">
        <v>60975.073548387059</v>
      </c>
      <c r="M48" s="118" t="s">
        <v>186</v>
      </c>
    </row>
    <row r="49" spans="1:13" ht="45" x14ac:dyDescent="0.25">
      <c r="A49" s="116" t="s">
        <v>26</v>
      </c>
      <c r="B49" s="116" t="s">
        <v>51</v>
      </c>
      <c r="C49" s="116" t="s">
        <v>73</v>
      </c>
      <c r="D49" s="116" t="s">
        <v>160</v>
      </c>
      <c r="E49" s="117">
        <v>46627.997419354811</v>
      </c>
      <c r="F49" s="117">
        <v>32280.92129032256</v>
      </c>
      <c r="G49" s="118" t="s">
        <v>192</v>
      </c>
      <c r="H49" s="117">
        <v>32280.92129032256</v>
      </c>
      <c r="I49" s="118" t="s">
        <v>192</v>
      </c>
      <c r="J49" s="117">
        <v>28694.1522580645</v>
      </c>
      <c r="K49" s="118" t="s">
        <v>193</v>
      </c>
      <c r="L49" s="117">
        <v>0</v>
      </c>
      <c r="M49" s="118" t="s">
        <v>187</v>
      </c>
    </row>
    <row r="50" spans="1:13" ht="45" x14ac:dyDescent="0.25">
      <c r="A50" s="116" t="s">
        <v>26</v>
      </c>
      <c r="B50" s="116" t="s">
        <v>51</v>
      </c>
      <c r="C50" s="116" t="s">
        <v>73</v>
      </c>
      <c r="D50" s="116" t="s">
        <v>161</v>
      </c>
      <c r="E50" s="117">
        <v>3586.7690322580625</v>
      </c>
      <c r="F50" s="117">
        <v>3586.7690322580625</v>
      </c>
      <c r="G50" s="118" t="s">
        <v>186</v>
      </c>
      <c r="H50" s="117">
        <v>3586.7690322580625</v>
      </c>
      <c r="I50" s="118" t="s">
        <v>186</v>
      </c>
      <c r="J50" s="117">
        <v>0</v>
      </c>
      <c r="K50" s="118" t="s">
        <v>187</v>
      </c>
      <c r="L50" s="117">
        <v>0</v>
      </c>
      <c r="M50" s="118" t="s">
        <v>187</v>
      </c>
    </row>
    <row r="51" spans="1:13" ht="45" x14ac:dyDescent="0.25">
      <c r="A51" s="116" t="s">
        <v>26</v>
      </c>
      <c r="B51" s="116" t="s">
        <v>51</v>
      </c>
      <c r="C51" s="116" t="s">
        <v>72</v>
      </c>
      <c r="D51" s="116" t="s">
        <v>159</v>
      </c>
      <c r="E51" s="117">
        <v>56297.169999999955</v>
      </c>
      <c r="F51" s="117">
        <v>56297.169999999955</v>
      </c>
      <c r="G51" s="118" t="s">
        <v>186</v>
      </c>
      <c r="H51" s="117">
        <v>56297.169999999955</v>
      </c>
      <c r="I51" s="118" t="s">
        <v>186</v>
      </c>
      <c r="J51" s="117">
        <v>56297.169999999955</v>
      </c>
      <c r="K51" s="118" t="s">
        <v>186</v>
      </c>
      <c r="L51" s="117">
        <v>56297.169999999955</v>
      </c>
      <c r="M51" s="118" t="s">
        <v>186</v>
      </c>
    </row>
    <row r="52" spans="1:13" ht="45" x14ac:dyDescent="0.25">
      <c r="A52" s="116" t="s">
        <v>26</v>
      </c>
      <c r="B52" s="116" t="s">
        <v>51</v>
      </c>
      <c r="C52" s="116" t="s">
        <v>72</v>
      </c>
      <c r="D52" s="116" t="s">
        <v>160</v>
      </c>
      <c r="E52" s="117">
        <v>56297.169999999955</v>
      </c>
      <c r="F52" s="117">
        <v>56297.169999999955</v>
      </c>
      <c r="G52" s="118" t="s">
        <v>186</v>
      </c>
      <c r="H52" s="117">
        <v>56297.169999999955</v>
      </c>
      <c r="I52" s="118" t="s">
        <v>186</v>
      </c>
      <c r="J52" s="117">
        <v>56297.169999999955</v>
      </c>
      <c r="K52" s="118" t="s">
        <v>186</v>
      </c>
      <c r="L52" s="117">
        <v>56297.169999999955</v>
      </c>
      <c r="M52" s="118" t="s">
        <v>186</v>
      </c>
    </row>
    <row r="53" spans="1:13" ht="45" x14ac:dyDescent="0.25">
      <c r="A53" s="116" t="s">
        <v>26</v>
      </c>
      <c r="B53" s="116" t="s">
        <v>51</v>
      </c>
      <c r="C53" s="116" t="s">
        <v>69</v>
      </c>
      <c r="D53" s="116" t="s">
        <v>159</v>
      </c>
      <c r="E53" s="117">
        <v>51802.619999999923</v>
      </c>
      <c r="F53" s="117">
        <v>51802.619999999923</v>
      </c>
      <c r="G53" s="118" t="s">
        <v>186</v>
      </c>
      <c r="H53" s="117">
        <v>51802.619999999923</v>
      </c>
      <c r="I53" s="118" t="s">
        <v>186</v>
      </c>
      <c r="J53" s="117">
        <v>51802.619999999923</v>
      </c>
      <c r="K53" s="118" t="s">
        <v>186</v>
      </c>
      <c r="L53" s="117">
        <v>51802.619999999923</v>
      </c>
      <c r="M53" s="118" t="s">
        <v>186</v>
      </c>
    </row>
    <row r="54" spans="1:13" ht="45" x14ac:dyDescent="0.25">
      <c r="A54" s="116" t="s">
        <v>26</v>
      </c>
      <c r="B54" s="116" t="s">
        <v>51</v>
      </c>
      <c r="C54" s="116" t="s">
        <v>69</v>
      </c>
      <c r="D54" s="116" t="s">
        <v>160</v>
      </c>
      <c r="E54" s="117">
        <v>51802.619999999923</v>
      </c>
      <c r="F54" s="117">
        <v>51802.619999999923</v>
      </c>
      <c r="G54" s="118" t="s">
        <v>186</v>
      </c>
      <c r="H54" s="117">
        <v>51802.619999999923</v>
      </c>
      <c r="I54" s="118" t="s">
        <v>186</v>
      </c>
      <c r="J54" s="117">
        <v>51802.619999999923</v>
      </c>
      <c r="K54" s="118" t="s">
        <v>186</v>
      </c>
      <c r="L54" s="117">
        <v>51802.619999999923</v>
      </c>
      <c r="M54" s="118" t="s">
        <v>186</v>
      </c>
    </row>
    <row r="55" spans="1:13" ht="45" x14ac:dyDescent="0.25">
      <c r="A55" s="116" t="s">
        <v>26</v>
      </c>
      <c r="B55" s="116" t="s">
        <v>51</v>
      </c>
      <c r="C55" s="116" t="s">
        <v>68</v>
      </c>
      <c r="D55" s="116" t="s">
        <v>159</v>
      </c>
      <c r="E55" s="117">
        <v>89929.743749999994</v>
      </c>
      <c r="F55" s="117">
        <v>89929.743749999994</v>
      </c>
      <c r="G55" s="118" t="s">
        <v>186</v>
      </c>
      <c r="H55" s="117">
        <v>89929.743749999994</v>
      </c>
      <c r="I55" s="118" t="s">
        <v>186</v>
      </c>
      <c r="J55" s="117">
        <v>89929.743749999994</v>
      </c>
      <c r="K55" s="118" t="s">
        <v>186</v>
      </c>
      <c r="L55" s="117">
        <v>89929.743749999994</v>
      </c>
      <c r="M55" s="118" t="s">
        <v>186</v>
      </c>
    </row>
    <row r="56" spans="1:13" ht="45" x14ac:dyDescent="0.25">
      <c r="A56" s="116" t="s">
        <v>26</v>
      </c>
      <c r="B56" s="116" t="s">
        <v>51</v>
      </c>
      <c r="C56" s="116" t="s">
        <v>68</v>
      </c>
      <c r="D56" s="116" t="s">
        <v>160</v>
      </c>
      <c r="E56" s="117">
        <v>5995.3162499999999</v>
      </c>
      <c r="F56" s="117">
        <v>5995.3162499999999</v>
      </c>
      <c r="G56" s="118" t="s">
        <v>186</v>
      </c>
      <c r="H56" s="117">
        <v>5995.3162499999999</v>
      </c>
      <c r="I56" s="118" t="s">
        <v>186</v>
      </c>
      <c r="J56" s="117">
        <v>5995.3162499999999</v>
      </c>
      <c r="K56" s="118" t="s">
        <v>186</v>
      </c>
      <c r="L56" s="117">
        <v>5995.3162499999999</v>
      </c>
      <c r="M56" s="118" t="s">
        <v>186</v>
      </c>
    </row>
    <row r="57" spans="1:13" ht="45" x14ac:dyDescent="0.25">
      <c r="A57" s="116" t="s">
        <v>26</v>
      </c>
      <c r="B57" s="116" t="s">
        <v>51</v>
      </c>
      <c r="C57" s="116" t="s">
        <v>60</v>
      </c>
      <c r="D57" s="116" t="s">
        <v>159</v>
      </c>
      <c r="E57" s="117">
        <v>84125.098536585356</v>
      </c>
      <c r="F57" s="117">
        <v>84125.098536585356</v>
      </c>
      <c r="G57" s="118" t="s">
        <v>186</v>
      </c>
      <c r="H57" s="117">
        <v>84125.098536585356</v>
      </c>
      <c r="I57" s="118" t="s">
        <v>186</v>
      </c>
      <c r="J57" s="117">
        <v>84125.098536585356</v>
      </c>
      <c r="K57" s="118" t="s">
        <v>186</v>
      </c>
      <c r="L57" s="117">
        <v>84125.098536585356</v>
      </c>
      <c r="M57" s="118" t="s">
        <v>186</v>
      </c>
    </row>
    <row r="58" spans="1:13" ht="45" x14ac:dyDescent="0.25">
      <c r="A58" s="116" t="s">
        <v>26</v>
      </c>
      <c r="B58" s="116" t="s">
        <v>51</v>
      </c>
      <c r="C58" s="116" t="s">
        <v>60</v>
      </c>
      <c r="D58" s="116" t="s">
        <v>160</v>
      </c>
      <c r="E58" s="117">
        <v>11684.041463414633</v>
      </c>
      <c r="F58" s="117">
        <v>11684.041463414633</v>
      </c>
      <c r="G58" s="118" t="s">
        <v>186</v>
      </c>
      <c r="H58" s="117">
        <v>11684.041463414633</v>
      </c>
      <c r="I58" s="118" t="s">
        <v>186</v>
      </c>
      <c r="J58" s="117">
        <v>11684.041463414633</v>
      </c>
      <c r="K58" s="118" t="s">
        <v>186</v>
      </c>
      <c r="L58" s="117">
        <v>11684.041463414633</v>
      </c>
      <c r="M58" s="118" t="s">
        <v>186</v>
      </c>
    </row>
    <row r="59" spans="1:13" ht="45" x14ac:dyDescent="0.25">
      <c r="A59" s="116" t="s">
        <v>26</v>
      </c>
      <c r="B59" s="116" t="s">
        <v>51</v>
      </c>
      <c r="C59" s="116" t="s">
        <v>57</v>
      </c>
      <c r="D59" s="116" t="s">
        <v>159</v>
      </c>
      <c r="E59" s="117">
        <v>92753.886822227039</v>
      </c>
      <c r="F59" s="117">
        <v>92753.886822227039</v>
      </c>
      <c r="G59" s="118" t="s">
        <v>186</v>
      </c>
      <c r="H59" s="117">
        <v>92753.886822227039</v>
      </c>
      <c r="I59" s="118" t="s">
        <v>186</v>
      </c>
      <c r="J59" s="117">
        <v>92753.886822227039</v>
      </c>
      <c r="K59" s="118" t="s">
        <v>186</v>
      </c>
      <c r="L59" s="117">
        <v>92753.886822227039</v>
      </c>
      <c r="M59" s="118" t="s">
        <v>186</v>
      </c>
    </row>
    <row r="60" spans="1:13" ht="45" x14ac:dyDescent="0.25">
      <c r="A60" s="116" t="s">
        <v>26</v>
      </c>
      <c r="B60" s="116" t="s">
        <v>51</v>
      </c>
      <c r="C60" s="116" t="s">
        <v>57</v>
      </c>
      <c r="D60" s="116" t="s">
        <v>160</v>
      </c>
      <c r="E60" s="117">
        <v>2576.4968561729734</v>
      </c>
      <c r="F60" s="117">
        <v>2576.4968561729734</v>
      </c>
      <c r="G60" s="118" t="s">
        <v>186</v>
      </c>
      <c r="H60" s="117">
        <v>2576.4968561729734</v>
      </c>
      <c r="I60" s="118" t="s">
        <v>186</v>
      </c>
      <c r="J60" s="117">
        <v>2576.4968561729734</v>
      </c>
      <c r="K60" s="118" t="s">
        <v>186</v>
      </c>
      <c r="L60" s="117">
        <v>2576.4968561729734</v>
      </c>
      <c r="M60" s="118" t="s">
        <v>186</v>
      </c>
    </row>
    <row r="61" spans="1:13" ht="45" x14ac:dyDescent="0.25">
      <c r="A61" s="116" t="s">
        <v>26</v>
      </c>
      <c r="B61" s="116" t="s">
        <v>51</v>
      </c>
      <c r="C61" s="116" t="s">
        <v>55</v>
      </c>
      <c r="D61" s="116" t="s">
        <v>159</v>
      </c>
      <c r="E61" s="117">
        <v>33687.787500000006</v>
      </c>
      <c r="F61" s="117">
        <v>33687.787500000006</v>
      </c>
      <c r="G61" s="118" t="s">
        <v>186</v>
      </c>
      <c r="H61" s="117">
        <v>33687.787500000006</v>
      </c>
      <c r="I61" s="118" t="s">
        <v>186</v>
      </c>
      <c r="J61" s="117">
        <v>33687.787500000006</v>
      </c>
      <c r="K61" s="118" t="s">
        <v>186</v>
      </c>
      <c r="L61" s="117">
        <v>33687.787500000006</v>
      </c>
      <c r="M61" s="118" t="s">
        <v>186</v>
      </c>
    </row>
    <row r="62" spans="1:13" ht="45" x14ac:dyDescent="0.25">
      <c r="A62" s="116" t="s">
        <v>26</v>
      </c>
      <c r="B62" s="116" t="s">
        <v>51</v>
      </c>
      <c r="C62" s="116" t="s">
        <v>55</v>
      </c>
      <c r="D62" s="116" t="s">
        <v>160</v>
      </c>
      <c r="E62" s="117">
        <v>1464.6864130434785</v>
      </c>
      <c r="F62" s="117">
        <v>1464.6864130434785</v>
      </c>
      <c r="G62" s="118" t="s">
        <v>186</v>
      </c>
      <c r="H62" s="117">
        <v>1464.6864130434785</v>
      </c>
      <c r="I62" s="118" t="s">
        <v>186</v>
      </c>
      <c r="J62" s="117">
        <v>1464.6864130434785</v>
      </c>
      <c r="K62" s="118" t="s">
        <v>186</v>
      </c>
      <c r="L62" s="117">
        <v>1464.6864130434785</v>
      </c>
      <c r="M62" s="118" t="s">
        <v>186</v>
      </c>
    </row>
    <row r="63" spans="1:13" ht="45" x14ac:dyDescent="0.25">
      <c r="A63" s="116" t="s">
        <v>26</v>
      </c>
      <c r="B63" s="116" t="s">
        <v>51</v>
      </c>
      <c r="C63" s="116" t="s">
        <v>55</v>
      </c>
      <c r="D63" s="116" t="s">
        <v>162</v>
      </c>
      <c r="E63" s="117">
        <v>99598.676086956533</v>
      </c>
      <c r="F63" s="117">
        <v>99598.676086956533</v>
      </c>
      <c r="G63" s="118" t="s">
        <v>186</v>
      </c>
      <c r="H63" s="117">
        <v>99598.676086956533</v>
      </c>
      <c r="I63" s="118" t="s">
        <v>186</v>
      </c>
      <c r="J63" s="117">
        <v>99598.676086956533</v>
      </c>
      <c r="K63" s="118" t="s">
        <v>186</v>
      </c>
      <c r="L63" s="117">
        <v>99598.676086956533</v>
      </c>
      <c r="M63" s="118" t="s">
        <v>186</v>
      </c>
    </row>
    <row r="64" spans="1:13" ht="45" x14ac:dyDescent="0.25">
      <c r="A64" s="116" t="s">
        <v>26</v>
      </c>
      <c r="B64" s="116" t="s">
        <v>51</v>
      </c>
      <c r="C64" s="116" t="s">
        <v>52</v>
      </c>
      <c r="D64" s="116" t="s">
        <v>159</v>
      </c>
      <c r="E64" s="117">
        <v>67096.790270270314</v>
      </c>
      <c r="F64" s="117">
        <v>67096.790270270314</v>
      </c>
      <c r="G64" s="118" t="s">
        <v>186</v>
      </c>
      <c r="H64" s="117">
        <v>67096.790270270314</v>
      </c>
      <c r="I64" s="118" t="s">
        <v>186</v>
      </c>
      <c r="J64" s="117">
        <v>67096.790270270314</v>
      </c>
      <c r="K64" s="118" t="s">
        <v>186</v>
      </c>
      <c r="L64" s="117">
        <v>67096.790270270314</v>
      </c>
      <c r="M64" s="118" t="s">
        <v>186</v>
      </c>
    </row>
    <row r="65" spans="1:13" ht="45" x14ac:dyDescent="0.25">
      <c r="A65" s="116" t="s">
        <v>26</v>
      </c>
      <c r="B65" s="116" t="s">
        <v>51</v>
      </c>
      <c r="C65" s="116" t="s">
        <v>52</v>
      </c>
      <c r="D65" s="116" t="s">
        <v>163</v>
      </c>
      <c r="E65" s="117">
        <v>1863.7997297297309</v>
      </c>
      <c r="F65" s="117">
        <v>1863.7997297297309</v>
      </c>
      <c r="G65" s="118" t="s">
        <v>186</v>
      </c>
      <c r="H65" s="117">
        <v>1863.7997297297309</v>
      </c>
      <c r="I65" s="118" t="s">
        <v>186</v>
      </c>
      <c r="J65" s="117">
        <v>1863.7997297297309</v>
      </c>
      <c r="K65" s="118" t="s">
        <v>186</v>
      </c>
      <c r="L65" s="117">
        <v>1863.7997297297309</v>
      </c>
      <c r="M65" s="118" t="s">
        <v>186</v>
      </c>
    </row>
    <row r="66" spans="1:13" ht="30" x14ac:dyDescent="0.25">
      <c r="A66" s="118" t="s">
        <v>114</v>
      </c>
      <c r="B66" s="118" t="s">
        <v>114</v>
      </c>
      <c r="C66" s="118" t="s">
        <v>114</v>
      </c>
      <c r="D66" s="118" t="s">
        <v>114</v>
      </c>
      <c r="E66" s="118" t="s">
        <v>235</v>
      </c>
      <c r="F66" s="118" t="s">
        <v>236</v>
      </c>
      <c r="G66" s="118" t="s">
        <v>114</v>
      </c>
      <c r="H66" s="118" t="s">
        <v>237</v>
      </c>
      <c r="I66" s="118" t="s">
        <v>114</v>
      </c>
      <c r="J66" s="118" t="s">
        <v>238</v>
      </c>
      <c r="K66" s="118" t="s">
        <v>114</v>
      </c>
      <c r="L66" s="118" t="s">
        <v>239</v>
      </c>
      <c r="M66" s="118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0E87F-387A-49B3-A128-1F4ADC64E158}">
  <dimension ref="A1:M66"/>
  <sheetViews>
    <sheetView topLeftCell="A55" workbookViewId="0">
      <selection activeCell="A2" sqref="A2:M65"/>
    </sheetView>
  </sheetViews>
  <sheetFormatPr defaultRowHeight="15" x14ac:dyDescent="0.25"/>
  <sheetData>
    <row r="1" spans="1:13" x14ac:dyDescent="0.25">
      <c r="A1" s="111" t="s">
        <v>218</v>
      </c>
      <c r="B1" s="111" t="s">
        <v>231</v>
      </c>
      <c r="C1" s="111" t="s">
        <v>177</v>
      </c>
      <c r="D1" s="111" t="s">
        <v>178</v>
      </c>
      <c r="E1" s="111" t="s">
        <v>179</v>
      </c>
      <c r="F1" s="111" t="s">
        <v>106</v>
      </c>
      <c r="G1" s="111" t="s">
        <v>180</v>
      </c>
      <c r="H1" s="111" t="s">
        <v>108</v>
      </c>
      <c r="I1" s="111" t="s">
        <v>181</v>
      </c>
      <c r="J1" s="111" t="s">
        <v>182</v>
      </c>
      <c r="K1" s="111" t="s">
        <v>183</v>
      </c>
      <c r="L1" s="111" t="s">
        <v>223</v>
      </c>
      <c r="M1" s="111" t="s">
        <v>224</v>
      </c>
    </row>
    <row r="2" spans="1:13" x14ac:dyDescent="0.25">
      <c r="A2" s="112" t="s">
        <v>26</v>
      </c>
      <c r="B2" s="112" t="s">
        <v>54</v>
      </c>
      <c r="C2" s="112" t="s">
        <v>82</v>
      </c>
      <c r="D2" s="112" t="s">
        <v>83</v>
      </c>
      <c r="E2" s="113">
        <v>61548.353999999999</v>
      </c>
      <c r="F2" s="113">
        <v>0</v>
      </c>
      <c r="G2" s="114" t="s">
        <v>187</v>
      </c>
      <c r="H2" s="113">
        <v>0</v>
      </c>
      <c r="I2" s="114" t="s">
        <v>187</v>
      </c>
      <c r="J2" s="113">
        <v>0</v>
      </c>
      <c r="K2" s="114" t="s">
        <v>187</v>
      </c>
      <c r="L2" s="113">
        <v>0</v>
      </c>
      <c r="M2" s="114" t="s">
        <v>187</v>
      </c>
    </row>
    <row r="3" spans="1:13" x14ac:dyDescent="0.25">
      <c r="A3" s="112" t="s">
        <v>26</v>
      </c>
      <c r="B3" s="112" t="s">
        <v>54</v>
      </c>
      <c r="C3" s="112" t="s">
        <v>84</v>
      </c>
      <c r="D3" s="112" t="s">
        <v>83</v>
      </c>
      <c r="E3" s="113">
        <v>61548.354399999989</v>
      </c>
      <c r="F3" s="113">
        <v>0</v>
      </c>
      <c r="G3" s="114" t="s">
        <v>187</v>
      </c>
      <c r="H3" s="113">
        <v>0</v>
      </c>
      <c r="I3" s="114" t="s">
        <v>187</v>
      </c>
      <c r="J3" s="113">
        <v>0</v>
      </c>
      <c r="K3" s="114" t="s">
        <v>187</v>
      </c>
      <c r="L3" s="113">
        <v>0</v>
      </c>
      <c r="M3" s="114" t="s">
        <v>187</v>
      </c>
    </row>
    <row r="4" spans="1:13" x14ac:dyDescent="0.25">
      <c r="A4" s="112" t="s">
        <v>26</v>
      </c>
      <c r="B4" s="112" t="s">
        <v>54</v>
      </c>
      <c r="C4" s="112" t="s">
        <v>94</v>
      </c>
      <c r="D4" s="112" t="s">
        <v>101</v>
      </c>
      <c r="E4" s="113">
        <v>116529.73999999999</v>
      </c>
      <c r="F4" s="113">
        <v>67975.681666666671</v>
      </c>
      <c r="G4" s="114" t="s">
        <v>226</v>
      </c>
      <c r="H4" s="113">
        <v>48554.058333333334</v>
      </c>
      <c r="I4" s="114" t="s">
        <v>227</v>
      </c>
      <c r="J4" s="113">
        <v>14566.217499999999</v>
      </c>
      <c r="K4" s="114" t="s">
        <v>203</v>
      </c>
      <c r="L4" s="113">
        <v>0</v>
      </c>
      <c r="M4" s="114" t="s">
        <v>187</v>
      </c>
    </row>
    <row r="5" spans="1:13" ht="30" x14ac:dyDescent="0.25">
      <c r="A5" s="112" t="s">
        <v>26</v>
      </c>
      <c r="B5" s="112" t="s">
        <v>54</v>
      </c>
      <c r="C5" s="112" t="s">
        <v>79</v>
      </c>
      <c r="D5" s="112" t="s">
        <v>59</v>
      </c>
      <c r="E5" s="113">
        <v>66526.931673225015</v>
      </c>
      <c r="F5" s="113">
        <v>66526.931673225015</v>
      </c>
      <c r="G5" s="114" t="s">
        <v>186</v>
      </c>
      <c r="H5" s="113">
        <v>66526.931673225015</v>
      </c>
      <c r="I5" s="114" t="s">
        <v>186</v>
      </c>
      <c r="J5" s="113">
        <v>66526.931673225015</v>
      </c>
      <c r="K5" s="114" t="s">
        <v>186</v>
      </c>
      <c r="L5" s="113">
        <v>66526.931673225015</v>
      </c>
      <c r="M5" s="114" t="s">
        <v>186</v>
      </c>
    </row>
    <row r="6" spans="1:13" ht="30" x14ac:dyDescent="0.25">
      <c r="A6" s="112" t="s">
        <v>26</v>
      </c>
      <c r="B6" s="112" t="s">
        <v>54</v>
      </c>
      <c r="C6" s="112" t="s">
        <v>80</v>
      </c>
      <c r="D6" s="112" t="s">
        <v>59</v>
      </c>
      <c r="E6" s="113">
        <v>27322.570000000014</v>
      </c>
      <c r="F6" s="113">
        <v>27322.570000000014</v>
      </c>
      <c r="G6" s="114" t="s">
        <v>186</v>
      </c>
      <c r="H6" s="113">
        <v>27322.570000000014</v>
      </c>
      <c r="I6" s="114" t="s">
        <v>186</v>
      </c>
      <c r="J6" s="113">
        <v>27322.570000000014</v>
      </c>
      <c r="K6" s="114" t="s">
        <v>186</v>
      </c>
      <c r="L6" s="113">
        <v>27322.570000000014</v>
      </c>
      <c r="M6" s="114" t="s">
        <v>186</v>
      </c>
    </row>
    <row r="7" spans="1:13" ht="30" x14ac:dyDescent="0.25">
      <c r="A7" s="112" t="s">
        <v>26</v>
      </c>
      <c r="B7" s="112" t="s">
        <v>54</v>
      </c>
      <c r="C7" s="112" t="s">
        <v>89</v>
      </c>
      <c r="D7" s="112" t="s">
        <v>59</v>
      </c>
      <c r="E7" s="113">
        <v>7738.8999999999987</v>
      </c>
      <c r="F7" s="113">
        <v>7738.8999999999987</v>
      </c>
      <c r="G7" s="114" t="s">
        <v>186</v>
      </c>
      <c r="H7" s="113">
        <v>7738.8999999999987</v>
      </c>
      <c r="I7" s="114" t="s">
        <v>186</v>
      </c>
      <c r="J7" s="113">
        <v>7738.8999999999987</v>
      </c>
      <c r="K7" s="114" t="s">
        <v>186</v>
      </c>
      <c r="L7" s="113">
        <v>7738.8999999999987</v>
      </c>
      <c r="M7" s="114" t="s">
        <v>186</v>
      </c>
    </row>
    <row r="8" spans="1:13" ht="30" x14ac:dyDescent="0.25">
      <c r="A8" s="112" t="s">
        <v>26</v>
      </c>
      <c r="B8" s="112" t="s">
        <v>54</v>
      </c>
      <c r="C8" s="112" t="s">
        <v>90</v>
      </c>
      <c r="D8" s="112" t="s">
        <v>59</v>
      </c>
      <c r="E8" s="113">
        <v>12606.7</v>
      </c>
      <c r="F8" s="113">
        <v>12606.7</v>
      </c>
      <c r="G8" s="114" t="s">
        <v>186</v>
      </c>
      <c r="H8" s="113">
        <v>12606.7</v>
      </c>
      <c r="I8" s="114" t="s">
        <v>186</v>
      </c>
      <c r="J8" s="113">
        <v>12606.7</v>
      </c>
      <c r="K8" s="114" t="s">
        <v>186</v>
      </c>
      <c r="L8" s="113">
        <v>12606.7</v>
      </c>
      <c r="M8" s="114" t="s">
        <v>186</v>
      </c>
    </row>
    <row r="9" spans="1:13" ht="30" x14ac:dyDescent="0.25">
      <c r="A9" s="112" t="s">
        <v>26</v>
      </c>
      <c r="B9" s="112" t="s">
        <v>54</v>
      </c>
      <c r="C9" s="112" t="s">
        <v>87</v>
      </c>
      <c r="D9" s="112" t="s">
        <v>59</v>
      </c>
      <c r="E9" s="113">
        <v>11821.399999999996</v>
      </c>
      <c r="F9" s="113">
        <v>11821.399999999996</v>
      </c>
      <c r="G9" s="114" t="s">
        <v>186</v>
      </c>
      <c r="H9" s="113">
        <v>11821.399999999996</v>
      </c>
      <c r="I9" s="114" t="s">
        <v>186</v>
      </c>
      <c r="J9" s="113">
        <v>11821.399999999996</v>
      </c>
      <c r="K9" s="114" t="s">
        <v>186</v>
      </c>
      <c r="L9" s="113">
        <v>11821.399999999996</v>
      </c>
      <c r="M9" s="114" t="s">
        <v>186</v>
      </c>
    </row>
    <row r="10" spans="1:13" ht="30" x14ac:dyDescent="0.25">
      <c r="A10" s="112" t="s">
        <v>26</v>
      </c>
      <c r="B10" s="112" t="s">
        <v>54</v>
      </c>
      <c r="C10" s="112" t="s">
        <v>93</v>
      </c>
      <c r="D10" s="112" t="s">
        <v>59</v>
      </c>
      <c r="E10" s="113">
        <v>13649.199999999999</v>
      </c>
      <c r="F10" s="113">
        <v>13649.199999999999</v>
      </c>
      <c r="G10" s="114" t="s">
        <v>186</v>
      </c>
      <c r="H10" s="113">
        <v>13649.199999999999</v>
      </c>
      <c r="I10" s="114" t="s">
        <v>186</v>
      </c>
      <c r="J10" s="113">
        <v>13649.199999999999</v>
      </c>
      <c r="K10" s="114" t="s">
        <v>186</v>
      </c>
      <c r="L10" s="113">
        <v>13649.199999999999</v>
      </c>
      <c r="M10" s="114" t="s">
        <v>186</v>
      </c>
    </row>
    <row r="11" spans="1:13" ht="30" x14ac:dyDescent="0.25">
      <c r="A11" s="112" t="s">
        <v>26</v>
      </c>
      <c r="B11" s="112" t="s">
        <v>54</v>
      </c>
      <c r="C11" s="112" t="s">
        <v>58</v>
      </c>
      <c r="D11" s="112" t="s">
        <v>59</v>
      </c>
      <c r="E11" s="113">
        <v>18015.695291250006</v>
      </c>
      <c r="F11" s="113">
        <v>18015.695291250006</v>
      </c>
      <c r="G11" s="114" t="s">
        <v>186</v>
      </c>
      <c r="H11" s="113">
        <v>18015.695291250006</v>
      </c>
      <c r="I11" s="114" t="s">
        <v>186</v>
      </c>
      <c r="J11" s="113">
        <v>18015.695291250006</v>
      </c>
      <c r="K11" s="114" t="s">
        <v>186</v>
      </c>
      <c r="L11" s="113">
        <v>18015.695291250006</v>
      </c>
      <c r="M11" s="114" t="s">
        <v>186</v>
      </c>
    </row>
    <row r="12" spans="1:13" ht="30" x14ac:dyDescent="0.25">
      <c r="A12" s="112" t="s">
        <v>26</v>
      </c>
      <c r="B12" s="112" t="s">
        <v>54</v>
      </c>
      <c r="C12" s="112" t="s">
        <v>77</v>
      </c>
      <c r="D12" s="112" t="s">
        <v>59</v>
      </c>
      <c r="E12" s="113">
        <v>14499.954724850006</v>
      </c>
      <c r="F12" s="113">
        <v>14499.954724850006</v>
      </c>
      <c r="G12" s="114" t="s">
        <v>186</v>
      </c>
      <c r="H12" s="113">
        <v>14499.954724850006</v>
      </c>
      <c r="I12" s="114" t="s">
        <v>186</v>
      </c>
      <c r="J12" s="113">
        <v>14499.954724850006</v>
      </c>
      <c r="K12" s="114" t="s">
        <v>186</v>
      </c>
      <c r="L12" s="113">
        <v>14499.954724850006</v>
      </c>
      <c r="M12" s="114" t="s">
        <v>186</v>
      </c>
    </row>
    <row r="13" spans="1:13" ht="45" x14ac:dyDescent="0.25">
      <c r="A13" s="112" t="s">
        <v>26</v>
      </c>
      <c r="B13" s="112" t="s">
        <v>54</v>
      </c>
      <c r="C13" s="112" t="s">
        <v>62</v>
      </c>
      <c r="D13" s="112" t="s">
        <v>164</v>
      </c>
      <c r="E13" s="113">
        <v>83412.565384615358</v>
      </c>
      <c r="F13" s="113">
        <v>75468.51153846152</v>
      </c>
      <c r="G13" s="114" t="s">
        <v>194</v>
      </c>
      <c r="H13" s="113">
        <v>43692.296153846139</v>
      </c>
      <c r="I13" s="114" t="s">
        <v>195</v>
      </c>
      <c r="J13" s="113">
        <v>35748.242307692293</v>
      </c>
      <c r="K13" s="114" t="s">
        <v>196</v>
      </c>
      <c r="L13" s="113">
        <v>0</v>
      </c>
      <c r="M13" s="114" t="s">
        <v>187</v>
      </c>
    </row>
    <row r="14" spans="1:13" ht="45" x14ac:dyDescent="0.25">
      <c r="A14" s="112" t="s">
        <v>26</v>
      </c>
      <c r="B14" s="112" t="s">
        <v>54</v>
      </c>
      <c r="C14" s="112" t="s">
        <v>62</v>
      </c>
      <c r="D14" s="112" t="s">
        <v>165</v>
      </c>
      <c r="E14" s="113">
        <v>19860.13461538461</v>
      </c>
      <c r="F14" s="113">
        <v>7944.0538461538445</v>
      </c>
      <c r="G14" s="114" t="s">
        <v>197</v>
      </c>
      <c r="H14" s="113">
        <v>0</v>
      </c>
      <c r="I14" s="114" t="s">
        <v>187</v>
      </c>
      <c r="J14" s="113">
        <v>0</v>
      </c>
      <c r="K14" s="114" t="s">
        <v>187</v>
      </c>
      <c r="L14" s="113">
        <v>0</v>
      </c>
      <c r="M14" s="114" t="s">
        <v>187</v>
      </c>
    </row>
    <row r="15" spans="1:13" ht="45" x14ac:dyDescent="0.25">
      <c r="A15" s="112" t="s">
        <v>26</v>
      </c>
      <c r="B15" s="112" t="s">
        <v>54</v>
      </c>
      <c r="C15" s="112" t="s">
        <v>64</v>
      </c>
      <c r="D15" s="112" t="s">
        <v>164</v>
      </c>
      <c r="E15" s="113">
        <v>53557.390769230769</v>
      </c>
      <c r="F15" s="113">
        <v>53557.390769230769</v>
      </c>
      <c r="G15" s="114" t="s">
        <v>186</v>
      </c>
      <c r="H15" s="113">
        <v>53557.390769230769</v>
      </c>
      <c r="I15" s="114" t="s">
        <v>186</v>
      </c>
      <c r="J15" s="113">
        <v>53557.390769230769</v>
      </c>
      <c r="K15" s="114" t="s">
        <v>186</v>
      </c>
      <c r="L15" s="113">
        <v>53557.390769230769</v>
      </c>
      <c r="M15" s="114" t="s">
        <v>186</v>
      </c>
    </row>
    <row r="16" spans="1:13" ht="45" x14ac:dyDescent="0.25">
      <c r="A16" s="112" t="s">
        <v>26</v>
      </c>
      <c r="B16" s="112" t="s">
        <v>54</v>
      </c>
      <c r="C16" s="112" t="s">
        <v>64</v>
      </c>
      <c r="D16" s="112" t="s">
        <v>165</v>
      </c>
      <c r="E16" s="113">
        <v>33473.369230769233</v>
      </c>
      <c r="F16" s="113">
        <v>33473.369230769233</v>
      </c>
      <c r="G16" s="114" t="s">
        <v>186</v>
      </c>
      <c r="H16" s="113">
        <v>33473.369230769233</v>
      </c>
      <c r="I16" s="114" t="s">
        <v>186</v>
      </c>
      <c r="J16" s="113">
        <v>33473.369230769233</v>
      </c>
      <c r="K16" s="114" t="s">
        <v>186</v>
      </c>
      <c r="L16" s="113">
        <v>33473.369230769233</v>
      </c>
      <c r="M16" s="114" t="s">
        <v>186</v>
      </c>
    </row>
    <row r="17" spans="1:13" ht="45" x14ac:dyDescent="0.25">
      <c r="A17" s="112" t="s">
        <v>26</v>
      </c>
      <c r="B17" s="112" t="s">
        <v>54</v>
      </c>
      <c r="C17" s="112" t="s">
        <v>71</v>
      </c>
      <c r="D17" s="112" t="s">
        <v>164</v>
      </c>
      <c r="E17" s="113">
        <v>82046.400000000009</v>
      </c>
      <c r="F17" s="113">
        <v>82046.400000000009</v>
      </c>
      <c r="G17" s="114" t="s">
        <v>186</v>
      </c>
      <c r="H17" s="113">
        <v>82046.400000000009</v>
      </c>
      <c r="I17" s="114" t="s">
        <v>186</v>
      </c>
      <c r="J17" s="113">
        <v>82046.400000000009</v>
      </c>
      <c r="K17" s="114" t="s">
        <v>186</v>
      </c>
      <c r="L17" s="113">
        <v>82046.400000000009</v>
      </c>
      <c r="M17" s="114" t="s">
        <v>186</v>
      </c>
    </row>
    <row r="18" spans="1:13" ht="45" x14ac:dyDescent="0.25">
      <c r="A18" s="112" t="s">
        <v>26</v>
      </c>
      <c r="B18" s="112" t="s">
        <v>54</v>
      </c>
      <c r="C18" s="112" t="s">
        <v>75</v>
      </c>
      <c r="D18" s="112" t="s">
        <v>164</v>
      </c>
      <c r="E18" s="113">
        <v>80497.16</v>
      </c>
      <c r="F18" s="113">
        <v>80497.16</v>
      </c>
      <c r="G18" s="114" t="s">
        <v>186</v>
      </c>
      <c r="H18" s="113">
        <v>80497.16</v>
      </c>
      <c r="I18" s="114" t="s">
        <v>186</v>
      </c>
      <c r="J18" s="113">
        <v>80497.16</v>
      </c>
      <c r="K18" s="114" t="s">
        <v>186</v>
      </c>
      <c r="L18" s="113">
        <v>80497.16</v>
      </c>
      <c r="M18" s="114" t="s">
        <v>186</v>
      </c>
    </row>
    <row r="19" spans="1:13" ht="45" x14ac:dyDescent="0.25">
      <c r="A19" s="112" t="s">
        <v>26</v>
      </c>
      <c r="B19" s="112" t="s">
        <v>54</v>
      </c>
      <c r="C19" s="112" t="s">
        <v>81</v>
      </c>
      <c r="D19" s="112" t="s">
        <v>165</v>
      </c>
      <c r="E19" s="113">
        <v>89010.219999999987</v>
      </c>
      <c r="F19" s="113">
        <v>89010.219999999987</v>
      </c>
      <c r="G19" s="114" t="s">
        <v>186</v>
      </c>
      <c r="H19" s="113">
        <v>89010.219999999987</v>
      </c>
      <c r="I19" s="114" t="s">
        <v>186</v>
      </c>
      <c r="J19" s="113">
        <v>89010.219999999987</v>
      </c>
      <c r="K19" s="114" t="s">
        <v>186</v>
      </c>
      <c r="L19" s="113">
        <v>89010.219999999987</v>
      </c>
      <c r="M19" s="114" t="s">
        <v>186</v>
      </c>
    </row>
    <row r="20" spans="1:13" ht="45" x14ac:dyDescent="0.25">
      <c r="A20" s="112" t="s">
        <v>26</v>
      </c>
      <c r="B20" s="112" t="s">
        <v>54</v>
      </c>
      <c r="C20" s="112" t="s">
        <v>85</v>
      </c>
      <c r="D20" s="112" t="s">
        <v>165</v>
      </c>
      <c r="E20" s="113">
        <v>88239.10000000002</v>
      </c>
      <c r="F20" s="113">
        <v>88239.10000000002</v>
      </c>
      <c r="G20" s="114" t="s">
        <v>186</v>
      </c>
      <c r="H20" s="113">
        <v>88239.10000000002</v>
      </c>
      <c r="I20" s="114" t="s">
        <v>186</v>
      </c>
      <c r="J20" s="113">
        <v>88239.10000000002</v>
      </c>
      <c r="K20" s="114" t="s">
        <v>186</v>
      </c>
      <c r="L20" s="113">
        <v>88239.10000000002</v>
      </c>
      <c r="M20" s="114" t="s">
        <v>186</v>
      </c>
    </row>
    <row r="21" spans="1:13" ht="45" x14ac:dyDescent="0.25">
      <c r="A21" s="112" t="s">
        <v>26</v>
      </c>
      <c r="B21" s="112" t="s">
        <v>54</v>
      </c>
      <c r="C21" s="112" t="s">
        <v>86</v>
      </c>
      <c r="D21" s="112" t="s">
        <v>164</v>
      </c>
      <c r="E21" s="113">
        <v>20377.497966666666</v>
      </c>
      <c r="F21" s="113">
        <v>3396.249661111111</v>
      </c>
      <c r="G21" s="114" t="s">
        <v>205</v>
      </c>
      <c r="H21" s="113">
        <v>0</v>
      </c>
      <c r="I21" s="114" t="s">
        <v>187</v>
      </c>
      <c r="J21" s="113">
        <v>0</v>
      </c>
      <c r="K21" s="114" t="s">
        <v>187</v>
      </c>
      <c r="L21" s="113">
        <v>0</v>
      </c>
      <c r="M21" s="114" t="s">
        <v>187</v>
      </c>
    </row>
    <row r="22" spans="1:13" ht="45" x14ac:dyDescent="0.25">
      <c r="A22" s="112" t="s">
        <v>26</v>
      </c>
      <c r="B22" s="112" t="s">
        <v>54</v>
      </c>
      <c r="C22" s="112" t="s">
        <v>86</v>
      </c>
      <c r="D22" s="112" t="s">
        <v>165</v>
      </c>
      <c r="E22" s="113">
        <v>40754.995933333332</v>
      </c>
      <c r="F22" s="113">
        <v>3396.249661111111</v>
      </c>
      <c r="G22" s="114" t="s">
        <v>204</v>
      </c>
      <c r="H22" s="113">
        <v>3396.249661111111</v>
      </c>
      <c r="I22" s="114" t="s">
        <v>204</v>
      </c>
      <c r="J22" s="113">
        <v>0</v>
      </c>
      <c r="K22" s="114" t="s">
        <v>187</v>
      </c>
      <c r="L22" s="113">
        <v>0</v>
      </c>
      <c r="M22" s="114" t="s">
        <v>187</v>
      </c>
    </row>
    <row r="23" spans="1:13" ht="45" x14ac:dyDescent="0.25">
      <c r="A23" s="112" t="s">
        <v>26</v>
      </c>
      <c r="B23" s="112" t="s">
        <v>54</v>
      </c>
      <c r="C23" s="112" t="s">
        <v>88</v>
      </c>
      <c r="D23" s="112" t="s">
        <v>164</v>
      </c>
      <c r="E23" s="113">
        <v>37721.30214</v>
      </c>
      <c r="F23" s="113">
        <v>13621.581328333334</v>
      </c>
      <c r="G23" s="114" t="s">
        <v>206</v>
      </c>
      <c r="H23" s="113">
        <v>12573.767379999999</v>
      </c>
      <c r="I23" s="114" t="s">
        <v>207</v>
      </c>
      <c r="J23" s="113">
        <v>9430.3255349999999</v>
      </c>
      <c r="K23" s="114" t="s">
        <v>208</v>
      </c>
      <c r="L23" s="113">
        <v>0</v>
      </c>
      <c r="M23" s="114" t="s">
        <v>187</v>
      </c>
    </row>
    <row r="24" spans="1:13" ht="45" x14ac:dyDescent="0.25">
      <c r="A24" s="112" t="s">
        <v>26</v>
      </c>
      <c r="B24" s="112" t="s">
        <v>54</v>
      </c>
      <c r="C24" s="112" t="s">
        <v>88</v>
      </c>
      <c r="D24" s="112" t="s">
        <v>165</v>
      </c>
      <c r="E24" s="113">
        <v>25147.534760000002</v>
      </c>
      <c r="F24" s="113">
        <v>0</v>
      </c>
      <c r="G24" s="114" t="s">
        <v>187</v>
      </c>
      <c r="H24" s="113">
        <v>0</v>
      </c>
      <c r="I24" s="114" t="s">
        <v>187</v>
      </c>
      <c r="J24" s="113">
        <v>0</v>
      </c>
      <c r="K24" s="114" t="s">
        <v>187</v>
      </c>
      <c r="L24" s="113">
        <v>0</v>
      </c>
      <c r="M24" s="114" t="s">
        <v>187</v>
      </c>
    </row>
    <row r="25" spans="1:13" ht="45" x14ac:dyDescent="0.25">
      <c r="A25" s="112" t="s">
        <v>26</v>
      </c>
      <c r="B25" s="112" t="s">
        <v>54</v>
      </c>
      <c r="C25" s="112" t="s">
        <v>91</v>
      </c>
      <c r="D25" s="112" t="s">
        <v>164</v>
      </c>
      <c r="E25" s="113">
        <v>51218.906666666669</v>
      </c>
      <c r="F25" s="113">
        <v>0</v>
      </c>
      <c r="G25" s="114" t="s">
        <v>187</v>
      </c>
      <c r="H25" s="113">
        <v>0</v>
      </c>
      <c r="I25" s="114" t="s">
        <v>187</v>
      </c>
      <c r="J25" s="113">
        <v>0</v>
      </c>
      <c r="K25" s="114" t="s">
        <v>187</v>
      </c>
      <c r="L25" s="113">
        <v>0</v>
      </c>
      <c r="M25" s="114" t="s">
        <v>187</v>
      </c>
    </row>
    <row r="26" spans="1:13" ht="45" x14ac:dyDescent="0.25">
      <c r="A26" s="112" t="s">
        <v>26</v>
      </c>
      <c r="B26" s="112" t="s">
        <v>54</v>
      </c>
      <c r="C26" s="112" t="s">
        <v>91</v>
      </c>
      <c r="D26" s="112" t="s">
        <v>165</v>
      </c>
      <c r="E26" s="113">
        <v>25609.453333333335</v>
      </c>
      <c r="F26" s="113">
        <v>0</v>
      </c>
      <c r="G26" s="114" t="s">
        <v>187</v>
      </c>
      <c r="H26" s="113">
        <v>0</v>
      </c>
      <c r="I26" s="114" t="s">
        <v>187</v>
      </c>
      <c r="J26" s="113">
        <v>0</v>
      </c>
      <c r="K26" s="114" t="s">
        <v>187</v>
      </c>
      <c r="L26" s="113">
        <v>0</v>
      </c>
      <c r="M26" s="114" t="s">
        <v>187</v>
      </c>
    </row>
    <row r="27" spans="1:13" x14ac:dyDescent="0.25">
      <c r="A27" s="112" t="s">
        <v>26</v>
      </c>
      <c r="B27" s="112" t="s">
        <v>27</v>
      </c>
      <c r="C27" s="112" t="s">
        <v>28</v>
      </c>
      <c r="D27" s="112" t="s">
        <v>30</v>
      </c>
      <c r="E27" s="113">
        <v>96552.957720588165</v>
      </c>
      <c r="F27" s="113">
        <v>96552.957720588165</v>
      </c>
      <c r="G27" s="114" t="s">
        <v>186</v>
      </c>
      <c r="H27" s="113">
        <v>96552.957720588165</v>
      </c>
      <c r="I27" s="114" t="s">
        <v>186</v>
      </c>
      <c r="J27" s="113">
        <v>96552.957720588165</v>
      </c>
      <c r="K27" s="114" t="s">
        <v>186</v>
      </c>
      <c r="L27" s="113">
        <v>96552.957720588165</v>
      </c>
      <c r="M27" s="114" t="s">
        <v>186</v>
      </c>
    </row>
    <row r="28" spans="1:13" ht="45" x14ac:dyDescent="0.25">
      <c r="A28" s="112" t="s">
        <v>26</v>
      </c>
      <c r="B28" s="112" t="s">
        <v>27</v>
      </c>
      <c r="C28" s="112" t="s">
        <v>96</v>
      </c>
      <c r="D28" s="112" t="s">
        <v>32</v>
      </c>
      <c r="E28" s="113">
        <v>7161.8114376280319</v>
      </c>
      <c r="F28" s="113">
        <v>7161.8114376280319</v>
      </c>
      <c r="G28" s="114" t="s">
        <v>186</v>
      </c>
      <c r="H28" s="113">
        <v>7161.8114376280319</v>
      </c>
      <c r="I28" s="114" t="s">
        <v>186</v>
      </c>
      <c r="J28" s="113">
        <v>7161.8114376280319</v>
      </c>
      <c r="K28" s="114" t="s">
        <v>186</v>
      </c>
      <c r="L28" s="113">
        <v>7161.8114376280319</v>
      </c>
      <c r="M28" s="114" t="s">
        <v>186</v>
      </c>
    </row>
    <row r="29" spans="1:13" x14ac:dyDescent="0.25">
      <c r="A29" s="112" t="s">
        <v>26</v>
      </c>
      <c r="B29" s="112" t="s">
        <v>27</v>
      </c>
      <c r="C29" s="112" t="s">
        <v>31</v>
      </c>
      <c r="D29" s="112" t="s">
        <v>33</v>
      </c>
      <c r="E29" s="113">
        <v>108361.32088237196</v>
      </c>
      <c r="F29" s="113">
        <v>108361.32088237196</v>
      </c>
      <c r="G29" s="114" t="s">
        <v>186</v>
      </c>
      <c r="H29" s="113">
        <v>108361.32088237196</v>
      </c>
      <c r="I29" s="114" t="s">
        <v>186</v>
      </c>
      <c r="J29" s="113">
        <v>108361.32088237196</v>
      </c>
      <c r="K29" s="114" t="s">
        <v>186</v>
      </c>
      <c r="L29" s="113">
        <v>108361.32088237196</v>
      </c>
      <c r="M29" s="114" t="s">
        <v>186</v>
      </c>
    </row>
    <row r="30" spans="1:13" ht="45" x14ac:dyDescent="0.25">
      <c r="A30" s="112" t="s">
        <v>26</v>
      </c>
      <c r="B30" s="112" t="s">
        <v>27</v>
      </c>
      <c r="C30" s="112" t="s">
        <v>97</v>
      </c>
      <c r="D30" s="112" t="s">
        <v>35</v>
      </c>
      <c r="E30" s="113">
        <v>28819.23</v>
      </c>
      <c r="F30" s="113">
        <v>28819.23</v>
      </c>
      <c r="G30" s="114" t="s">
        <v>186</v>
      </c>
      <c r="H30" s="113">
        <v>28819.23</v>
      </c>
      <c r="I30" s="114" t="s">
        <v>186</v>
      </c>
      <c r="J30" s="113">
        <v>28819.23</v>
      </c>
      <c r="K30" s="114" t="s">
        <v>186</v>
      </c>
      <c r="L30" s="113">
        <v>28819.23</v>
      </c>
      <c r="M30" s="114" t="s">
        <v>186</v>
      </c>
    </row>
    <row r="31" spans="1:13" x14ac:dyDescent="0.25">
      <c r="A31" s="112" t="s">
        <v>26</v>
      </c>
      <c r="B31" s="112" t="s">
        <v>27</v>
      </c>
      <c r="C31" s="112" t="s">
        <v>34</v>
      </c>
      <c r="D31" s="112" t="s">
        <v>36</v>
      </c>
      <c r="E31" s="113">
        <v>41918.879999999997</v>
      </c>
      <c r="F31" s="113">
        <v>41918.879999999997</v>
      </c>
      <c r="G31" s="114" t="s">
        <v>186</v>
      </c>
      <c r="H31" s="113">
        <v>41918.879999999997</v>
      </c>
      <c r="I31" s="114" t="s">
        <v>186</v>
      </c>
      <c r="J31" s="113">
        <v>41918.879999999997</v>
      </c>
      <c r="K31" s="114" t="s">
        <v>186</v>
      </c>
      <c r="L31" s="113">
        <v>41918.879999999997</v>
      </c>
      <c r="M31" s="114" t="s">
        <v>186</v>
      </c>
    </row>
    <row r="32" spans="1:13" ht="45" x14ac:dyDescent="0.25">
      <c r="A32" s="112" t="s">
        <v>26</v>
      </c>
      <c r="B32" s="112" t="s">
        <v>27</v>
      </c>
      <c r="C32" s="112" t="s">
        <v>154</v>
      </c>
      <c r="D32" s="112" t="s">
        <v>155</v>
      </c>
      <c r="E32" s="113">
        <v>69664.792279411718</v>
      </c>
      <c r="F32" s="113">
        <v>69664.792279411718</v>
      </c>
      <c r="G32" s="114" t="s">
        <v>186</v>
      </c>
      <c r="H32" s="113">
        <v>69664.792279411718</v>
      </c>
      <c r="I32" s="114" t="s">
        <v>186</v>
      </c>
      <c r="J32" s="113">
        <v>69664.792279411718</v>
      </c>
      <c r="K32" s="114" t="s">
        <v>186</v>
      </c>
      <c r="L32" s="113">
        <v>69664.792279411718</v>
      </c>
      <c r="M32" s="114" t="s">
        <v>186</v>
      </c>
    </row>
    <row r="33" spans="1:13" x14ac:dyDescent="0.25">
      <c r="A33" s="112" t="s">
        <v>26</v>
      </c>
      <c r="B33" s="112" t="s">
        <v>37</v>
      </c>
      <c r="C33" s="112" t="s">
        <v>38</v>
      </c>
      <c r="D33" s="112" t="s">
        <v>30</v>
      </c>
      <c r="E33" s="113">
        <v>202798.24999999991</v>
      </c>
      <c r="F33" s="113">
        <v>202798.24999999991</v>
      </c>
      <c r="G33" s="114" t="s">
        <v>186</v>
      </c>
      <c r="H33" s="113">
        <v>202798.24999999991</v>
      </c>
      <c r="I33" s="114" t="s">
        <v>186</v>
      </c>
      <c r="J33" s="113">
        <v>202798.24999999991</v>
      </c>
      <c r="K33" s="114" t="s">
        <v>186</v>
      </c>
      <c r="L33" s="113">
        <v>202798.24999999991</v>
      </c>
      <c r="M33" s="114" t="s">
        <v>186</v>
      </c>
    </row>
    <row r="34" spans="1:13" ht="45" x14ac:dyDescent="0.25">
      <c r="A34" s="112" t="s">
        <v>26</v>
      </c>
      <c r="B34" s="112" t="s">
        <v>37</v>
      </c>
      <c r="C34" s="112" t="s">
        <v>98</v>
      </c>
      <c r="D34" s="112" t="s">
        <v>40</v>
      </c>
      <c r="E34" s="113">
        <v>14225.697777777767</v>
      </c>
      <c r="F34" s="113">
        <v>14225.697777777767</v>
      </c>
      <c r="G34" s="114" t="s">
        <v>186</v>
      </c>
      <c r="H34" s="113">
        <v>14225.697777777767</v>
      </c>
      <c r="I34" s="114" t="s">
        <v>186</v>
      </c>
      <c r="J34" s="113">
        <v>14225.697777777767</v>
      </c>
      <c r="K34" s="114" t="s">
        <v>186</v>
      </c>
      <c r="L34" s="113">
        <v>14225.697777777767</v>
      </c>
      <c r="M34" s="114" t="s">
        <v>186</v>
      </c>
    </row>
    <row r="35" spans="1:13" x14ac:dyDescent="0.25">
      <c r="A35" s="112" t="s">
        <v>26</v>
      </c>
      <c r="B35" s="112" t="s">
        <v>37</v>
      </c>
      <c r="C35" s="112" t="s">
        <v>39</v>
      </c>
      <c r="D35" s="112" t="s">
        <v>41</v>
      </c>
      <c r="E35" s="113">
        <v>33786.032222222195</v>
      </c>
      <c r="F35" s="113">
        <v>33786.032222222195</v>
      </c>
      <c r="G35" s="114" t="s">
        <v>186</v>
      </c>
      <c r="H35" s="113">
        <v>33786.032222222195</v>
      </c>
      <c r="I35" s="114" t="s">
        <v>186</v>
      </c>
      <c r="J35" s="113">
        <v>33786.032222222195</v>
      </c>
      <c r="K35" s="114" t="s">
        <v>186</v>
      </c>
      <c r="L35" s="113">
        <v>33786.032222222195</v>
      </c>
      <c r="M35" s="114" t="s">
        <v>186</v>
      </c>
    </row>
    <row r="36" spans="1:13" x14ac:dyDescent="0.25">
      <c r="A36" s="112" t="s">
        <v>26</v>
      </c>
      <c r="B36" s="112" t="s">
        <v>48</v>
      </c>
      <c r="C36" s="112" t="s">
        <v>50</v>
      </c>
      <c r="D36" s="112" t="s">
        <v>30</v>
      </c>
      <c r="E36" s="113">
        <v>197930.57800000015</v>
      </c>
      <c r="F36" s="113">
        <v>197930.57800000015</v>
      </c>
      <c r="G36" s="114" t="s">
        <v>186</v>
      </c>
      <c r="H36" s="113">
        <v>197930.57800000015</v>
      </c>
      <c r="I36" s="114" t="s">
        <v>186</v>
      </c>
      <c r="J36" s="113">
        <v>197930.57800000015</v>
      </c>
      <c r="K36" s="114" t="s">
        <v>186</v>
      </c>
      <c r="L36" s="113">
        <v>197930.57800000015</v>
      </c>
      <c r="M36" s="114" t="s">
        <v>186</v>
      </c>
    </row>
    <row r="37" spans="1:13" ht="45" x14ac:dyDescent="0.25">
      <c r="A37" s="112" t="s">
        <v>26</v>
      </c>
      <c r="B37" s="112" t="s">
        <v>48</v>
      </c>
      <c r="C37" s="112" t="s">
        <v>99</v>
      </c>
      <c r="D37" s="112" t="s">
        <v>40</v>
      </c>
      <c r="E37" s="113">
        <v>48039.180472087894</v>
      </c>
      <c r="F37" s="113">
        <v>48039.180472087894</v>
      </c>
      <c r="G37" s="114" t="s">
        <v>186</v>
      </c>
      <c r="H37" s="113">
        <v>48039.180472087894</v>
      </c>
      <c r="I37" s="114" t="s">
        <v>186</v>
      </c>
      <c r="J37" s="113">
        <v>48039.180472087894</v>
      </c>
      <c r="K37" s="114" t="s">
        <v>186</v>
      </c>
      <c r="L37" s="113">
        <v>48039.180472087894</v>
      </c>
      <c r="M37" s="114" t="s">
        <v>186</v>
      </c>
    </row>
    <row r="38" spans="1:13" x14ac:dyDescent="0.25">
      <c r="A38" s="112" t="s">
        <v>26</v>
      </c>
      <c r="B38" s="112" t="s">
        <v>48</v>
      </c>
      <c r="C38" s="112" t="s">
        <v>49</v>
      </c>
      <c r="D38" s="112" t="s">
        <v>41</v>
      </c>
      <c r="E38" s="113">
        <v>113870.65000791205</v>
      </c>
      <c r="F38" s="113">
        <v>113870.65000791205</v>
      </c>
      <c r="G38" s="114" t="s">
        <v>186</v>
      </c>
      <c r="H38" s="113">
        <v>113870.65000791205</v>
      </c>
      <c r="I38" s="114" t="s">
        <v>186</v>
      </c>
      <c r="J38" s="113">
        <v>113870.65000791205</v>
      </c>
      <c r="K38" s="114" t="s">
        <v>186</v>
      </c>
      <c r="L38" s="113">
        <v>113870.65000791205</v>
      </c>
      <c r="M38" s="114" t="s">
        <v>186</v>
      </c>
    </row>
    <row r="39" spans="1:13" x14ac:dyDescent="0.25">
      <c r="A39" s="112" t="s">
        <v>26</v>
      </c>
      <c r="B39" s="112" t="s">
        <v>48</v>
      </c>
      <c r="C39" s="112" t="s">
        <v>53</v>
      </c>
      <c r="D39" s="112" t="s">
        <v>30</v>
      </c>
      <c r="E39" s="113">
        <v>38583.482900000025</v>
      </c>
      <c r="F39" s="113">
        <v>38583.482900000025</v>
      </c>
      <c r="G39" s="114" t="s">
        <v>186</v>
      </c>
      <c r="H39" s="113">
        <v>38583.482900000025</v>
      </c>
      <c r="I39" s="114" t="s">
        <v>186</v>
      </c>
      <c r="J39" s="113">
        <v>38583.482900000025</v>
      </c>
      <c r="K39" s="114" t="s">
        <v>186</v>
      </c>
      <c r="L39" s="113">
        <v>38583.482900000025</v>
      </c>
      <c r="M39" s="114" t="s">
        <v>186</v>
      </c>
    </row>
    <row r="40" spans="1:13" x14ac:dyDescent="0.25">
      <c r="A40" s="112" t="s">
        <v>26</v>
      </c>
      <c r="B40" s="112" t="s">
        <v>42</v>
      </c>
      <c r="C40" s="112" t="s">
        <v>43</v>
      </c>
      <c r="D40" s="112" t="s">
        <v>30</v>
      </c>
      <c r="E40" s="113">
        <v>117331.45999999999</v>
      </c>
      <c r="F40" s="113">
        <v>117331.45999999999</v>
      </c>
      <c r="G40" s="114" t="s">
        <v>186</v>
      </c>
      <c r="H40" s="113">
        <v>117331.45999999999</v>
      </c>
      <c r="I40" s="114" t="s">
        <v>186</v>
      </c>
      <c r="J40" s="113">
        <v>117331.45999999999</v>
      </c>
      <c r="K40" s="114" t="s">
        <v>186</v>
      </c>
      <c r="L40" s="113">
        <v>117331.45999999999</v>
      </c>
      <c r="M40" s="114" t="s">
        <v>186</v>
      </c>
    </row>
    <row r="41" spans="1:13" ht="45" x14ac:dyDescent="0.25">
      <c r="A41" s="112" t="s">
        <v>26</v>
      </c>
      <c r="B41" s="112" t="s">
        <v>42</v>
      </c>
      <c r="C41" s="112" t="s">
        <v>100</v>
      </c>
      <c r="D41" s="112" t="s">
        <v>40</v>
      </c>
      <c r="E41" s="113">
        <v>31371.858461538464</v>
      </c>
      <c r="F41" s="113">
        <v>31371.858461538464</v>
      </c>
      <c r="G41" s="114" t="s">
        <v>186</v>
      </c>
      <c r="H41" s="113">
        <v>31371.858461538464</v>
      </c>
      <c r="I41" s="114" t="s">
        <v>186</v>
      </c>
      <c r="J41" s="113">
        <v>31371.858461538464</v>
      </c>
      <c r="K41" s="114" t="s">
        <v>186</v>
      </c>
      <c r="L41" s="113">
        <v>31371.858461538464</v>
      </c>
      <c r="M41" s="114" t="s">
        <v>186</v>
      </c>
    </row>
    <row r="42" spans="1:13" x14ac:dyDescent="0.25">
      <c r="A42" s="112" t="s">
        <v>26</v>
      </c>
      <c r="B42" s="112" t="s">
        <v>42</v>
      </c>
      <c r="C42" s="112" t="s">
        <v>44</v>
      </c>
      <c r="D42" s="112" t="s">
        <v>41</v>
      </c>
      <c r="E42" s="113">
        <v>53593.591538461544</v>
      </c>
      <c r="F42" s="113">
        <v>53593.591538461544</v>
      </c>
      <c r="G42" s="114" t="s">
        <v>186</v>
      </c>
      <c r="H42" s="113">
        <v>53593.591538461544</v>
      </c>
      <c r="I42" s="114" t="s">
        <v>186</v>
      </c>
      <c r="J42" s="113">
        <v>53593.591538461544</v>
      </c>
      <c r="K42" s="114" t="s">
        <v>186</v>
      </c>
      <c r="L42" s="113">
        <v>53593.591538461544</v>
      </c>
      <c r="M42" s="114" t="s">
        <v>186</v>
      </c>
    </row>
    <row r="43" spans="1:13" ht="45" x14ac:dyDescent="0.25">
      <c r="A43" s="112" t="s">
        <v>26</v>
      </c>
      <c r="B43" s="112" t="s">
        <v>42</v>
      </c>
      <c r="C43" s="112" t="s">
        <v>156</v>
      </c>
      <c r="D43" s="112" t="s">
        <v>157</v>
      </c>
      <c r="E43" s="113">
        <v>18310.153273878263</v>
      </c>
      <c r="F43" s="113">
        <v>18310.153273878263</v>
      </c>
      <c r="G43" s="114" t="s">
        <v>186</v>
      </c>
      <c r="H43" s="113">
        <v>18310.153273878263</v>
      </c>
      <c r="I43" s="114" t="s">
        <v>186</v>
      </c>
      <c r="J43" s="113">
        <v>18310.153273878263</v>
      </c>
      <c r="K43" s="114" t="s">
        <v>186</v>
      </c>
      <c r="L43" s="113">
        <v>18310.153273878263</v>
      </c>
      <c r="M43" s="114" t="s">
        <v>186</v>
      </c>
    </row>
    <row r="44" spans="1:13" x14ac:dyDescent="0.25">
      <c r="A44" s="112" t="s">
        <v>26</v>
      </c>
      <c r="B44" s="112" t="s">
        <v>42</v>
      </c>
      <c r="C44" s="112" t="s">
        <v>45</v>
      </c>
      <c r="D44" s="112" t="s">
        <v>46</v>
      </c>
      <c r="E44" s="113">
        <v>26811.295865321739</v>
      </c>
      <c r="F44" s="113">
        <v>26811.295865321739</v>
      </c>
      <c r="G44" s="114" t="s">
        <v>186</v>
      </c>
      <c r="H44" s="113">
        <v>26811.295865321739</v>
      </c>
      <c r="I44" s="114" t="s">
        <v>186</v>
      </c>
      <c r="J44" s="113">
        <v>26811.295865321739</v>
      </c>
      <c r="K44" s="114" t="s">
        <v>186</v>
      </c>
      <c r="L44" s="113">
        <v>26811.295865321739</v>
      </c>
      <c r="M44" s="114" t="s">
        <v>186</v>
      </c>
    </row>
    <row r="45" spans="1:13" x14ac:dyDescent="0.25">
      <c r="A45" s="112" t="s">
        <v>26</v>
      </c>
      <c r="B45" s="112" t="s">
        <v>42</v>
      </c>
      <c r="C45" s="112" t="s">
        <v>92</v>
      </c>
      <c r="D45" s="112" t="s">
        <v>30</v>
      </c>
      <c r="E45" s="113">
        <v>19379.126958333338</v>
      </c>
      <c r="F45" s="113">
        <v>19379.126958333338</v>
      </c>
      <c r="G45" s="114" t="s">
        <v>186</v>
      </c>
      <c r="H45" s="113">
        <v>19379.126958333338</v>
      </c>
      <c r="I45" s="114" t="s">
        <v>186</v>
      </c>
      <c r="J45" s="113">
        <v>19379.126958333338</v>
      </c>
      <c r="K45" s="114" t="s">
        <v>186</v>
      </c>
      <c r="L45" s="113">
        <v>19379.126958333338</v>
      </c>
      <c r="M45" s="114" t="s">
        <v>186</v>
      </c>
    </row>
    <row r="46" spans="1:13" x14ac:dyDescent="0.25">
      <c r="A46" s="112" t="s">
        <v>26</v>
      </c>
      <c r="B46" s="112" t="s">
        <v>42</v>
      </c>
      <c r="C46" s="112" t="s">
        <v>158</v>
      </c>
      <c r="D46" s="112" t="s">
        <v>30</v>
      </c>
      <c r="E46" s="113">
        <v>3875.8253916666677</v>
      </c>
      <c r="F46" s="113">
        <v>3875.8253916666677</v>
      </c>
      <c r="G46" s="114" t="s">
        <v>186</v>
      </c>
      <c r="H46" s="113">
        <v>3875.8253916666677</v>
      </c>
      <c r="I46" s="114" t="s">
        <v>186</v>
      </c>
      <c r="J46" s="113">
        <v>3875.8253916666677</v>
      </c>
      <c r="K46" s="114" t="s">
        <v>186</v>
      </c>
      <c r="L46" s="113">
        <v>3875.8253916666677</v>
      </c>
      <c r="M46" s="114" t="s">
        <v>186</v>
      </c>
    </row>
    <row r="47" spans="1:13" x14ac:dyDescent="0.25">
      <c r="A47" s="112" t="s">
        <v>26</v>
      </c>
      <c r="B47" s="112" t="s">
        <v>47</v>
      </c>
      <c r="C47" s="112" t="s">
        <v>47</v>
      </c>
      <c r="D47" s="112" t="s">
        <v>30</v>
      </c>
      <c r="E47" s="113">
        <v>231366.75872000019</v>
      </c>
      <c r="F47" s="113">
        <v>231366.75872000019</v>
      </c>
      <c r="G47" s="114" t="s">
        <v>186</v>
      </c>
      <c r="H47" s="113">
        <v>231366.75872000019</v>
      </c>
      <c r="I47" s="114" t="s">
        <v>186</v>
      </c>
      <c r="J47" s="113">
        <v>231366.75872000019</v>
      </c>
      <c r="K47" s="114" t="s">
        <v>186</v>
      </c>
      <c r="L47" s="113">
        <v>231366.75872000019</v>
      </c>
      <c r="M47" s="114" t="s">
        <v>186</v>
      </c>
    </row>
    <row r="48" spans="1:13" ht="45" x14ac:dyDescent="0.25">
      <c r="A48" s="112" t="s">
        <v>26</v>
      </c>
      <c r="B48" s="112" t="s">
        <v>51</v>
      </c>
      <c r="C48" s="112" t="s">
        <v>73</v>
      </c>
      <c r="D48" s="112" t="s">
        <v>159</v>
      </c>
      <c r="E48" s="113">
        <v>60975.073548387059</v>
      </c>
      <c r="F48" s="113">
        <v>60975.073548387059</v>
      </c>
      <c r="G48" s="114" t="s">
        <v>186</v>
      </c>
      <c r="H48" s="113">
        <v>60975.073548387059</v>
      </c>
      <c r="I48" s="114" t="s">
        <v>186</v>
      </c>
      <c r="J48" s="113">
        <v>60975.073548387059</v>
      </c>
      <c r="K48" s="114" t="s">
        <v>186</v>
      </c>
      <c r="L48" s="113">
        <v>60975.073548387059</v>
      </c>
      <c r="M48" s="114" t="s">
        <v>186</v>
      </c>
    </row>
    <row r="49" spans="1:13" ht="45" x14ac:dyDescent="0.25">
      <c r="A49" s="112" t="s">
        <v>26</v>
      </c>
      <c r="B49" s="112" t="s">
        <v>51</v>
      </c>
      <c r="C49" s="112" t="s">
        <v>73</v>
      </c>
      <c r="D49" s="112" t="s">
        <v>160</v>
      </c>
      <c r="E49" s="113">
        <v>46627.997419354811</v>
      </c>
      <c r="F49" s="113">
        <v>32280.92129032256</v>
      </c>
      <c r="G49" s="114" t="s">
        <v>192</v>
      </c>
      <c r="H49" s="113">
        <v>32280.92129032256</v>
      </c>
      <c r="I49" s="114" t="s">
        <v>192</v>
      </c>
      <c r="J49" s="113">
        <v>28694.1522580645</v>
      </c>
      <c r="K49" s="114" t="s">
        <v>193</v>
      </c>
      <c r="L49" s="113">
        <v>0</v>
      </c>
      <c r="M49" s="114" t="s">
        <v>187</v>
      </c>
    </row>
    <row r="50" spans="1:13" ht="45" x14ac:dyDescent="0.25">
      <c r="A50" s="112" t="s">
        <v>26</v>
      </c>
      <c r="B50" s="112" t="s">
        <v>51</v>
      </c>
      <c r="C50" s="112" t="s">
        <v>73</v>
      </c>
      <c r="D50" s="112" t="s">
        <v>161</v>
      </c>
      <c r="E50" s="113">
        <v>3586.7690322580625</v>
      </c>
      <c r="F50" s="113">
        <v>3586.7690322580625</v>
      </c>
      <c r="G50" s="114" t="s">
        <v>186</v>
      </c>
      <c r="H50" s="113">
        <v>3586.7690322580625</v>
      </c>
      <c r="I50" s="114" t="s">
        <v>186</v>
      </c>
      <c r="J50" s="113">
        <v>0</v>
      </c>
      <c r="K50" s="114" t="s">
        <v>187</v>
      </c>
      <c r="L50" s="113">
        <v>0</v>
      </c>
      <c r="M50" s="114" t="s">
        <v>187</v>
      </c>
    </row>
    <row r="51" spans="1:13" ht="45" x14ac:dyDescent="0.25">
      <c r="A51" s="112" t="s">
        <v>26</v>
      </c>
      <c r="B51" s="112" t="s">
        <v>51</v>
      </c>
      <c r="C51" s="112" t="s">
        <v>72</v>
      </c>
      <c r="D51" s="112" t="s">
        <v>159</v>
      </c>
      <c r="E51" s="113">
        <v>56297.169999999955</v>
      </c>
      <c r="F51" s="113">
        <v>56297.169999999955</v>
      </c>
      <c r="G51" s="114" t="s">
        <v>186</v>
      </c>
      <c r="H51" s="113">
        <v>56297.169999999955</v>
      </c>
      <c r="I51" s="114" t="s">
        <v>186</v>
      </c>
      <c r="J51" s="113">
        <v>56297.169999999955</v>
      </c>
      <c r="K51" s="114" t="s">
        <v>186</v>
      </c>
      <c r="L51" s="113">
        <v>56297.169999999955</v>
      </c>
      <c r="M51" s="114" t="s">
        <v>186</v>
      </c>
    </row>
    <row r="52" spans="1:13" ht="45" x14ac:dyDescent="0.25">
      <c r="A52" s="112" t="s">
        <v>26</v>
      </c>
      <c r="B52" s="112" t="s">
        <v>51</v>
      </c>
      <c r="C52" s="112" t="s">
        <v>72</v>
      </c>
      <c r="D52" s="112" t="s">
        <v>160</v>
      </c>
      <c r="E52" s="113">
        <v>56297.169999999955</v>
      </c>
      <c r="F52" s="113">
        <v>56297.169999999955</v>
      </c>
      <c r="G52" s="114" t="s">
        <v>186</v>
      </c>
      <c r="H52" s="113">
        <v>56297.169999999955</v>
      </c>
      <c r="I52" s="114" t="s">
        <v>186</v>
      </c>
      <c r="J52" s="113">
        <v>56297.169999999955</v>
      </c>
      <c r="K52" s="114" t="s">
        <v>186</v>
      </c>
      <c r="L52" s="113">
        <v>56297.169999999955</v>
      </c>
      <c r="M52" s="114" t="s">
        <v>186</v>
      </c>
    </row>
    <row r="53" spans="1:13" ht="45" x14ac:dyDescent="0.25">
      <c r="A53" s="112" t="s">
        <v>26</v>
      </c>
      <c r="B53" s="112" t="s">
        <v>51</v>
      </c>
      <c r="C53" s="112" t="s">
        <v>69</v>
      </c>
      <c r="D53" s="112" t="s">
        <v>159</v>
      </c>
      <c r="E53" s="113">
        <v>51802.619999999923</v>
      </c>
      <c r="F53" s="113">
        <v>51802.619999999923</v>
      </c>
      <c r="G53" s="114" t="s">
        <v>186</v>
      </c>
      <c r="H53" s="113">
        <v>51802.619999999923</v>
      </c>
      <c r="I53" s="114" t="s">
        <v>186</v>
      </c>
      <c r="J53" s="113">
        <v>51802.619999999923</v>
      </c>
      <c r="K53" s="114" t="s">
        <v>186</v>
      </c>
      <c r="L53" s="113">
        <v>51802.619999999923</v>
      </c>
      <c r="M53" s="114" t="s">
        <v>186</v>
      </c>
    </row>
    <row r="54" spans="1:13" ht="45" x14ac:dyDescent="0.25">
      <c r="A54" s="112" t="s">
        <v>26</v>
      </c>
      <c r="B54" s="112" t="s">
        <v>51</v>
      </c>
      <c r="C54" s="112" t="s">
        <v>69</v>
      </c>
      <c r="D54" s="112" t="s">
        <v>160</v>
      </c>
      <c r="E54" s="113">
        <v>51802.619999999923</v>
      </c>
      <c r="F54" s="113">
        <v>51802.619999999923</v>
      </c>
      <c r="G54" s="114" t="s">
        <v>186</v>
      </c>
      <c r="H54" s="113">
        <v>51802.619999999923</v>
      </c>
      <c r="I54" s="114" t="s">
        <v>186</v>
      </c>
      <c r="J54" s="113">
        <v>51802.619999999923</v>
      </c>
      <c r="K54" s="114" t="s">
        <v>186</v>
      </c>
      <c r="L54" s="113">
        <v>51802.619999999923</v>
      </c>
      <c r="M54" s="114" t="s">
        <v>186</v>
      </c>
    </row>
    <row r="55" spans="1:13" ht="45" x14ac:dyDescent="0.25">
      <c r="A55" s="112" t="s">
        <v>26</v>
      </c>
      <c r="B55" s="112" t="s">
        <v>51</v>
      </c>
      <c r="C55" s="112" t="s">
        <v>68</v>
      </c>
      <c r="D55" s="112" t="s">
        <v>159</v>
      </c>
      <c r="E55" s="113">
        <v>89929.743749999994</v>
      </c>
      <c r="F55" s="113">
        <v>89929.743749999994</v>
      </c>
      <c r="G55" s="114" t="s">
        <v>186</v>
      </c>
      <c r="H55" s="113">
        <v>89929.743749999994</v>
      </c>
      <c r="I55" s="114" t="s">
        <v>186</v>
      </c>
      <c r="J55" s="113">
        <v>89929.743749999994</v>
      </c>
      <c r="K55" s="114" t="s">
        <v>186</v>
      </c>
      <c r="L55" s="113">
        <v>89929.743749999994</v>
      </c>
      <c r="M55" s="114" t="s">
        <v>186</v>
      </c>
    </row>
    <row r="56" spans="1:13" ht="45" x14ac:dyDescent="0.25">
      <c r="A56" s="112" t="s">
        <v>26</v>
      </c>
      <c r="B56" s="112" t="s">
        <v>51</v>
      </c>
      <c r="C56" s="112" t="s">
        <v>68</v>
      </c>
      <c r="D56" s="112" t="s">
        <v>160</v>
      </c>
      <c r="E56" s="113">
        <v>5995.3162499999999</v>
      </c>
      <c r="F56" s="113">
        <v>5995.3162499999999</v>
      </c>
      <c r="G56" s="114" t="s">
        <v>186</v>
      </c>
      <c r="H56" s="113">
        <v>5995.3162499999999</v>
      </c>
      <c r="I56" s="114" t="s">
        <v>186</v>
      </c>
      <c r="J56" s="113">
        <v>5995.3162499999999</v>
      </c>
      <c r="K56" s="114" t="s">
        <v>186</v>
      </c>
      <c r="L56" s="113">
        <v>5995.3162499999999</v>
      </c>
      <c r="M56" s="114" t="s">
        <v>186</v>
      </c>
    </row>
    <row r="57" spans="1:13" ht="45" x14ac:dyDescent="0.25">
      <c r="A57" s="112" t="s">
        <v>26</v>
      </c>
      <c r="B57" s="112" t="s">
        <v>51</v>
      </c>
      <c r="C57" s="112" t="s">
        <v>60</v>
      </c>
      <c r="D57" s="112" t="s">
        <v>159</v>
      </c>
      <c r="E57" s="113">
        <v>84125.098536585356</v>
      </c>
      <c r="F57" s="113">
        <v>84125.098536585356</v>
      </c>
      <c r="G57" s="114" t="s">
        <v>186</v>
      </c>
      <c r="H57" s="113">
        <v>84125.098536585356</v>
      </c>
      <c r="I57" s="114" t="s">
        <v>186</v>
      </c>
      <c r="J57" s="113">
        <v>84125.098536585356</v>
      </c>
      <c r="K57" s="114" t="s">
        <v>186</v>
      </c>
      <c r="L57" s="113">
        <v>84125.098536585356</v>
      </c>
      <c r="M57" s="114" t="s">
        <v>186</v>
      </c>
    </row>
    <row r="58" spans="1:13" ht="45" x14ac:dyDescent="0.25">
      <c r="A58" s="112" t="s">
        <v>26</v>
      </c>
      <c r="B58" s="112" t="s">
        <v>51</v>
      </c>
      <c r="C58" s="112" t="s">
        <v>60</v>
      </c>
      <c r="D58" s="112" t="s">
        <v>160</v>
      </c>
      <c r="E58" s="113">
        <v>11684.041463414633</v>
      </c>
      <c r="F58" s="113">
        <v>11684.041463414633</v>
      </c>
      <c r="G58" s="114" t="s">
        <v>186</v>
      </c>
      <c r="H58" s="113">
        <v>11684.041463414633</v>
      </c>
      <c r="I58" s="114" t="s">
        <v>186</v>
      </c>
      <c r="J58" s="113">
        <v>11684.041463414633</v>
      </c>
      <c r="K58" s="114" t="s">
        <v>186</v>
      </c>
      <c r="L58" s="113">
        <v>11684.041463414633</v>
      </c>
      <c r="M58" s="114" t="s">
        <v>186</v>
      </c>
    </row>
    <row r="59" spans="1:13" ht="45" x14ac:dyDescent="0.25">
      <c r="A59" s="112" t="s">
        <v>26</v>
      </c>
      <c r="B59" s="112" t="s">
        <v>51</v>
      </c>
      <c r="C59" s="112" t="s">
        <v>57</v>
      </c>
      <c r="D59" s="112" t="s">
        <v>159</v>
      </c>
      <c r="E59" s="113">
        <v>92753.886822227039</v>
      </c>
      <c r="F59" s="113">
        <v>92753.886822227039</v>
      </c>
      <c r="G59" s="114" t="s">
        <v>186</v>
      </c>
      <c r="H59" s="113">
        <v>92753.886822227039</v>
      </c>
      <c r="I59" s="114" t="s">
        <v>186</v>
      </c>
      <c r="J59" s="113">
        <v>92753.886822227039</v>
      </c>
      <c r="K59" s="114" t="s">
        <v>186</v>
      </c>
      <c r="L59" s="113">
        <v>92753.886822227039</v>
      </c>
      <c r="M59" s="114" t="s">
        <v>186</v>
      </c>
    </row>
    <row r="60" spans="1:13" ht="45" x14ac:dyDescent="0.25">
      <c r="A60" s="112" t="s">
        <v>26</v>
      </c>
      <c r="B60" s="112" t="s">
        <v>51</v>
      </c>
      <c r="C60" s="112" t="s">
        <v>57</v>
      </c>
      <c r="D60" s="112" t="s">
        <v>160</v>
      </c>
      <c r="E60" s="113">
        <v>2576.4968561729734</v>
      </c>
      <c r="F60" s="113">
        <v>2576.4968561729734</v>
      </c>
      <c r="G60" s="114" t="s">
        <v>186</v>
      </c>
      <c r="H60" s="113">
        <v>2576.4968561729734</v>
      </c>
      <c r="I60" s="114" t="s">
        <v>186</v>
      </c>
      <c r="J60" s="113">
        <v>2576.4968561729734</v>
      </c>
      <c r="K60" s="114" t="s">
        <v>186</v>
      </c>
      <c r="L60" s="113">
        <v>2576.4968561729734</v>
      </c>
      <c r="M60" s="114" t="s">
        <v>186</v>
      </c>
    </row>
    <row r="61" spans="1:13" ht="45" x14ac:dyDescent="0.25">
      <c r="A61" s="112" t="s">
        <v>26</v>
      </c>
      <c r="B61" s="112" t="s">
        <v>51</v>
      </c>
      <c r="C61" s="112" t="s">
        <v>55</v>
      </c>
      <c r="D61" s="112" t="s">
        <v>159</v>
      </c>
      <c r="E61" s="113">
        <v>33687.787500000006</v>
      </c>
      <c r="F61" s="113">
        <v>33687.787500000006</v>
      </c>
      <c r="G61" s="114" t="s">
        <v>186</v>
      </c>
      <c r="H61" s="113">
        <v>33687.787500000006</v>
      </c>
      <c r="I61" s="114" t="s">
        <v>186</v>
      </c>
      <c r="J61" s="113">
        <v>33687.787500000006</v>
      </c>
      <c r="K61" s="114" t="s">
        <v>186</v>
      </c>
      <c r="L61" s="113">
        <v>33687.787500000006</v>
      </c>
      <c r="M61" s="114" t="s">
        <v>186</v>
      </c>
    </row>
    <row r="62" spans="1:13" ht="45" x14ac:dyDescent="0.25">
      <c r="A62" s="112" t="s">
        <v>26</v>
      </c>
      <c r="B62" s="112" t="s">
        <v>51</v>
      </c>
      <c r="C62" s="112" t="s">
        <v>55</v>
      </c>
      <c r="D62" s="112" t="s">
        <v>160</v>
      </c>
      <c r="E62" s="113">
        <v>1464.6864130434785</v>
      </c>
      <c r="F62" s="113">
        <v>1464.6864130434785</v>
      </c>
      <c r="G62" s="114" t="s">
        <v>186</v>
      </c>
      <c r="H62" s="113">
        <v>1464.6864130434785</v>
      </c>
      <c r="I62" s="114" t="s">
        <v>186</v>
      </c>
      <c r="J62" s="113">
        <v>1464.6864130434785</v>
      </c>
      <c r="K62" s="114" t="s">
        <v>186</v>
      </c>
      <c r="L62" s="113">
        <v>1464.6864130434785</v>
      </c>
      <c r="M62" s="114" t="s">
        <v>186</v>
      </c>
    </row>
    <row r="63" spans="1:13" ht="45" x14ac:dyDescent="0.25">
      <c r="A63" s="112" t="s">
        <v>26</v>
      </c>
      <c r="B63" s="112" t="s">
        <v>51</v>
      </c>
      <c r="C63" s="112" t="s">
        <v>55</v>
      </c>
      <c r="D63" s="112" t="s">
        <v>162</v>
      </c>
      <c r="E63" s="113">
        <v>99598.676086956533</v>
      </c>
      <c r="F63" s="113">
        <v>99598.676086956533</v>
      </c>
      <c r="G63" s="114" t="s">
        <v>186</v>
      </c>
      <c r="H63" s="113">
        <v>99598.676086956533</v>
      </c>
      <c r="I63" s="114" t="s">
        <v>186</v>
      </c>
      <c r="J63" s="113">
        <v>99598.676086956533</v>
      </c>
      <c r="K63" s="114" t="s">
        <v>186</v>
      </c>
      <c r="L63" s="113">
        <v>99598.676086956533</v>
      </c>
      <c r="M63" s="114" t="s">
        <v>186</v>
      </c>
    </row>
    <row r="64" spans="1:13" ht="45" x14ac:dyDescent="0.25">
      <c r="A64" s="112" t="s">
        <v>26</v>
      </c>
      <c r="B64" s="112" t="s">
        <v>51</v>
      </c>
      <c r="C64" s="112" t="s">
        <v>52</v>
      </c>
      <c r="D64" s="112" t="s">
        <v>159</v>
      </c>
      <c r="E64" s="113">
        <v>67096.790270270314</v>
      </c>
      <c r="F64" s="113">
        <v>67096.790270270314</v>
      </c>
      <c r="G64" s="114" t="s">
        <v>186</v>
      </c>
      <c r="H64" s="113">
        <v>67096.790270270314</v>
      </c>
      <c r="I64" s="114" t="s">
        <v>186</v>
      </c>
      <c r="J64" s="113">
        <v>67096.790270270314</v>
      </c>
      <c r="K64" s="114" t="s">
        <v>186</v>
      </c>
      <c r="L64" s="113">
        <v>67096.790270270314</v>
      </c>
      <c r="M64" s="114" t="s">
        <v>186</v>
      </c>
    </row>
    <row r="65" spans="1:13" ht="45" x14ac:dyDescent="0.25">
      <c r="A65" s="112" t="s">
        <v>26</v>
      </c>
      <c r="B65" s="112" t="s">
        <v>51</v>
      </c>
      <c r="C65" s="112" t="s">
        <v>52</v>
      </c>
      <c r="D65" s="112" t="s">
        <v>163</v>
      </c>
      <c r="E65" s="113">
        <v>1863.7997297297309</v>
      </c>
      <c r="F65" s="113">
        <v>1863.7997297297309</v>
      </c>
      <c r="G65" s="114" t="s">
        <v>186</v>
      </c>
      <c r="H65" s="113">
        <v>1863.7997297297309</v>
      </c>
      <c r="I65" s="114" t="s">
        <v>186</v>
      </c>
      <c r="J65" s="113">
        <v>1863.7997297297309</v>
      </c>
      <c r="K65" s="114" t="s">
        <v>186</v>
      </c>
      <c r="L65" s="113">
        <v>1863.7997297297309</v>
      </c>
      <c r="M65" s="114" t="s">
        <v>186</v>
      </c>
    </row>
    <row r="66" spans="1:13" ht="30" x14ac:dyDescent="0.25">
      <c r="A66" s="114" t="s">
        <v>114</v>
      </c>
      <c r="B66" s="114" t="s">
        <v>114</v>
      </c>
      <c r="C66" s="114" t="s">
        <v>114</v>
      </c>
      <c r="D66" s="114" t="s">
        <v>114</v>
      </c>
      <c r="E66" s="114" t="s">
        <v>219</v>
      </c>
      <c r="F66" s="114" t="s">
        <v>228</v>
      </c>
      <c r="G66" s="114" t="s">
        <v>114</v>
      </c>
      <c r="H66" s="114" t="s">
        <v>229</v>
      </c>
      <c r="I66" s="114" t="s">
        <v>114</v>
      </c>
      <c r="J66" s="114" t="s">
        <v>230</v>
      </c>
      <c r="K66" s="114" t="s">
        <v>114</v>
      </c>
      <c r="L66" s="114" t="s">
        <v>225</v>
      </c>
      <c r="M66" s="114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3FF15-D7B4-49ED-834B-6DAF5EE5E8AC}">
  <dimension ref="A1:M66"/>
  <sheetViews>
    <sheetView topLeftCell="A55" workbookViewId="0">
      <selection activeCell="A2" sqref="A2:M65"/>
    </sheetView>
  </sheetViews>
  <sheetFormatPr defaultRowHeight="15" x14ac:dyDescent="0.25"/>
  <sheetData>
    <row r="1" spans="1:13" x14ac:dyDescent="0.25">
      <c r="A1" s="107" t="s">
        <v>218</v>
      </c>
      <c r="B1" s="107" t="s">
        <v>176</v>
      </c>
      <c r="C1" s="107" t="s">
        <v>177</v>
      </c>
      <c r="D1" s="107" t="s">
        <v>178</v>
      </c>
      <c r="E1" s="107" t="s">
        <v>179</v>
      </c>
      <c r="F1" s="107" t="s">
        <v>106</v>
      </c>
      <c r="G1" s="107" t="s">
        <v>180</v>
      </c>
      <c r="H1" s="107" t="s">
        <v>108</v>
      </c>
      <c r="I1" s="107" t="s">
        <v>181</v>
      </c>
      <c r="J1" s="107" t="s">
        <v>182</v>
      </c>
      <c r="K1" s="107" t="s">
        <v>183</v>
      </c>
      <c r="L1" s="107" t="s">
        <v>223</v>
      </c>
      <c r="M1" s="107" t="s">
        <v>224</v>
      </c>
    </row>
    <row r="2" spans="1:13" x14ac:dyDescent="0.25">
      <c r="A2" s="108" t="s">
        <v>26</v>
      </c>
      <c r="B2" s="108" t="s">
        <v>54</v>
      </c>
      <c r="C2" s="108" t="s">
        <v>82</v>
      </c>
      <c r="D2" s="108" t="s">
        <v>83</v>
      </c>
      <c r="E2" s="109">
        <v>61548.353999999999</v>
      </c>
      <c r="F2" s="109">
        <v>0</v>
      </c>
      <c r="G2" s="110" t="s">
        <v>187</v>
      </c>
      <c r="H2" s="109">
        <v>0</v>
      </c>
      <c r="I2" s="110" t="s">
        <v>187</v>
      </c>
      <c r="J2" s="109">
        <v>0</v>
      </c>
      <c r="K2" s="110" t="s">
        <v>187</v>
      </c>
      <c r="L2" s="109">
        <v>0</v>
      </c>
      <c r="M2" s="110" t="s">
        <v>187</v>
      </c>
    </row>
    <row r="3" spans="1:13" x14ac:dyDescent="0.25">
      <c r="A3" s="108" t="s">
        <v>26</v>
      </c>
      <c r="B3" s="108" t="s">
        <v>54</v>
      </c>
      <c r="C3" s="108" t="s">
        <v>84</v>
      </c>
      <c r="D3" s="108" t="s">
        <v>83</v>
      </c>
      <c r="E3" s="109">
        <v>61548.354399999989</v>
      </c>
      <c r="F3" s="109">
        <v>0</v>
      </c>
      <c r="G3" s="110" t="s">
        <v>187</v>
      </c>
      <c r="H3" s="109">
        <v>0</v>
      </c>
      <c r="I3" s="110" t="s">
        <v>187</v>
      </c>
      <c r="J3" s="109">
        <v>0</v>
      </c>
      <c r="K3" s="110" t="s">
        <v>187</v>
      </c>
      <c r="L3" s="109">
        <v>0</v>
      </c>
      <c r="M3" s="110" t="s">
        <v>187</v>
      </c>
    </row>
    <row r="4" spans="1:13" x14ac:dyDescent="0.25">
      <c r="A4" s="108" t="s">
        <v>26</v>
      </c>
      <c r="B4" s="108" t="s">
        <v>54</v>
      </c>
      <c r="C4" s="108" t="s">
        <v>94</v>
      </c>
      <c r="D4" s="108" t="s">
        <v>101</v>
      </c>
      <c r="E4" s="109">
        <v>116529.73999999999</v>
      </c>
      <c r="F4" s="109">
        <v>67975.681666666671</v>
      </c>
      <c r="G4" s="110" t="s">
        <v>226</v>
      </c>
      <c r="H4" s="109">
        <v>48554.058333333334</v>
      </c>
      <c r="I4" s="110" t="s">
        <v>227</v>
      </c>
      <c r="J4" s="109">
        <v>14566.217499999999</v>
      </c>
      <c r="K4" s="110" t="s">
        <v>203</v>
      </c>
      <c r="L4" s="109">
        <v>0</v>
      </c>
      <c r="M4" s="110" t="s">
        <v>187</v>
      </c>
    </row>
    <row r="5" spans="1:13" ht="30" x14ac:dyDescent="0.25">
      <c r="A5" s="108" t="s">
        <v>26</v>
      </c>
      <c r="B5" s="108" t="s">
        <v>54</v>
      </c>
      <c r="C5" s="108" t="s">
        <v>79</v>
      </c>
      <c r="D5" s="108" t="s">
        <v>59</v>
      </c>
      <c r="E5" s="109">
        <v>66526.931673225015</v>
      </c>
      <c r="F5" s="109">
        <v>66526.931673225015</v>
      </c>
      <c r="G5" s="110" t="s">
        <v>186</v>
      </c>
      <c r="H5" s="109">
        <v>66526.931673225015</v>
      </c>
      <c r="I5" s="110" t="s">
        <v>186</v>
      </c>
      <c r="J5" s="109">
        <v>66526.931673225015</v>
      </c>
      <c r="K5" s="110" t="s">
        <v>186</v>
      </c>
      <c r="L5" s="109">
        <v>66526.931673225015</v>
      </c>
      <c r="M5" s="110" t="s">
        <v>186</v>
      </c>
    </row>
    <row r="6" spans="1:13" ht="30" x14ac:dyDescent="0.25">
      <c r="A6" s="108" t="s">
        <v>26</v>
      </c>
      <c r="B6" s="108" t="s">
        <v>54</v>
      </c>
      <c r="C6" s="108" t="s">
        <v>80</v>
      </c>
      <c r="D6" s="108" t="s">
        <v>59</v>
      </c>
      <c r="E6" s="109">
        <v>27322.570000000014</v>
      </c>
      <c r="F6" s="109">
        <v>27322.570000000014</v>
      </c>
      <c r="G6" s="110" t="s">
        <v>186</v>
      </c>
      <c r="H6" s="109">
        <v>27322.570000000014</v>
      </c>
      <c r="I6" s="110" t="s">
        <v>186</v>
      </c>
      <c r="J6" s="109">
        <v>27322.570000000014</v>
      </c>
      <c r="K6" s="110" t="s">
        <v>186</v>
      </c>
      <c r="L6" s="109">
        <v>27322.570000000014</v>
      </c>
      <c r="M6" s="110" t="s">
        <v>186</v>
      </c>
    </row>
    <row r="7" spans="1:13" ht="30" x14ac:dyDescent="0.25">
      <c r="A7" s="108" t="s">
        <v>26</v>
      </c>
      <c r="B7" s="108" t="s">
        <v>54</v>
      </c>
      <c r="C7" s="108" t="s">
        <v>89</v>
      </c>
      <c r="D7" s="108" t="s">
        <v>59</v>
      </c>
      <c r="E7" s="109">
        <v>7738.8999999999987</v>
      </c>
      <c r="F7" s="109">
        <v>7738.8999999999987</v>
      </c>
      <c r="G7" s="110" t="s">
        <v>186</v>
      </c>
      <c r="H7" s="109">
        <v>7738.8999999999987</v>
      </c>
      <c r="I7" s="110" t="s">
        <v>186</v>
      </c>
      <c r="J7" s="109">
        <v>7738.8999999999987</v>
      </c>
      <c r="K7" s="110" t="s">
        <v>186</v>
      </c>
      <c r="L7" s="109">
        <v>7738.8999999999987</v>
      </c>
      <c r="M7" s="110" t="s">
        <v>186</v>
      </c>
    </row>
    <row r="8" spans="1:13" ht="30" x14ac:dyDescent="0.25">
      <c r="A8" s="108" t="s">
        <v>26</v>
      </c>
      <c r="B8" s="108" t="s">
        <v>54</v>
      </c>
      <c r="C8" s="108" t="s">
        <v>90</v>
      </c>
      <c r="D8" s="108" t="s">
        <v>59</v>
      </c>
      <c r="E8" s="109">
        <v>12606.7</v>
      </c>
      <c r="F8" s="109">
        <v>12606.7</v>
      </c>
      <c r="G8" s="110" t="s">
        <v>186</v>
      </c>
      <c r="H8" s="109">
        <v>12606.7</v>
      </c>
      <c r="I8" s="110" t="s">
        <v>186</v>
      </c>
      <c r="J8" s="109">
        <v>12606.7</v>
      </c>
      <c r="K8" s="110" t="s">
        <v>186</v>
      </c>
      <c r="L8" s="109">
        <v>12606.7</v>
      </c>
      <c r="M8" s="110" t="s">
        <v>186</v>
      </c>
    </row>
    <row r="9" spans="1:13" ht="30" x14ac:dyDescent="0.25">
      <c r="A9" s="108" t="s">
        <v>26</v>
      </c>
      <c r="B9" s="108" t="s">
        <v>54</v>
      </c>
      <c r="C9" s="108" t="s">
        <v>87</v>
      </c>
      <c r="D9" s="108" t="s">
        <v>59</v>
      </c>
      <c r="E9" s="109">
        <v>11821.399999999996</v>
      </c>
      <c r="F9" s="109">
        <v>11821.399999999996</v>
      </c>
      <c r="G9" s="110" t="s">
        <v>186</v>
      </c>
      <c r="H9" s="109">
        <v>11821.399999999996</v>
      </c>
      <c r="I9" s="110" t="s">
        <v>186</v>
      </c>
      <c r="J9" s="109">
        <v>11821.399999999996</v>
      </c>
      <c r="K9" s="110" t="s">
        <v>186</v>
      </c>
      <c r="L9" s="109">
        <v>11821.399999999996</v>
      </c>
      <c r="M9" s="110" t="s">
        <v>186</v>
      </c>
    </row>
    <row r="10" spans="1:13" ht="30" x14ac:dyDescent="0.25">
      <c r="A10" s="108" t="s">
        <v>26</v>
      </c>
      <c r="B10" s="108" t="s">
        <v>54</v>
      </c>
      <c r="C10" s="108" t="s">
        <v>93</v>
      </c>
      <c r="D10" s="108" t="s">
        <v>59</v>
      </c>
      <c r="E10" s="109">
        <v>13649.199999999999</v>
      </c>
      <c r="F10" s="109">
        <v>13649.199999999999</v>
      </c>
      <c r="G10" s="110" t="s">
        <v>186</v>
      </c>
      <c r="H10" s="109">
        <v>13649.199999999999</v>
      </c>
      <c r="I10" s="110" t="s">
        <v>186</v>
      </c>
      <c r="J10" s="109">
        <v>13649.199999999999</v>
      </c>
      <c r="K10" s="110" t="s">
        <v>186</v>
      </c>
      <c r="L10" s="109">
        <v>13649.199999999999</v>
      </c>
      <c r="M10" s="110" t="s">
        <v>186</v>
      </c>
    </row>
    <row r="11" spans="1:13" ht="30" x14ac:dyDescent="0.25">
      <c r="A11" s="108" t="s">
        <v>26</v>
      </c>
      <c r="B11" s="108" t="s">
        <v>54</v>
      </c>
      <c r="C11" s="108" t="s">
        <v>58</v>
      </c>
      <c r="D11" s="108" t="s">
        <v>59</v>
      </c>
      <c r="E11" s="109">
        <v>18015.695291250006</v>
      </c>
      <c r="F11" s="109">
        <v>18015.695291250006</v>
      </c>
      <c r="G11" s="110" t="s">
        <v>186</v>
      </c>
      <c r="H11" s="109">
        <v>18015.695291250006</v>
      </c>
      <c r="I11" s="110" t="s">
        <v>186</v>
      </c>
      <c r="J11" s="109">
        <v>18015.695291250006</v>
      </c>
      <c r="K11" s="110" t="s">
        <v>186</v>
      </c>
      <c r="L11" s="109">
        <v>18015.695291250006</v>
      </c>
      <c r="M11" s="110" t="s">
        <v>186</v>
      </c>
    </row>
    <row r="12" spans="1:13" ht="30" x14ac:dyDescent="0.25">
      <c r="A12" s="108" t="s">
        <v>26</v>
      </c>
      <c r="B12" s="108" t="s">
        <v>54</v>
      </c>
      <c r="C12" s="108" t="s">
        <v>77</v>
      </c>
      <c r="D12" s="108" t="s">
        <v>59</v>
      </c>
      <c r="E12" s="109">
        <v>14499.954724850006</v>
      </c>
      <c r="F12" s="109">
        <v>14499.954724850006</v>
      </c>
      <c r="G12" s="110" t="s">
        <v>186</v>
      </c>
      <c r="H12" s="109">
        <v>14499.954724850006</v>
      </c>
      <c r="I12" s="110" t="s">
        <v>186</v>
      </c>
      <c r="J12" s="109">
        <v>14499.954724850006</v>
      </c>
      <c r="K12" s="110" t="s">
        <v>186</v>
      </c>
      <c r="L12" s="109">
        <v>14499.954724850006</v>
      </c>
      <c r="M12" s="110" t="s">
        <v>186</v>
      </c>
    </row>
    <row r="13" spans="1:13" ht="45" x14ac:dyDescent="0.25">
      <c r="A13" s="108" t="s">
        <v>26</v>
      </c>
      <c r="B13" s="108" t="s">
        <v>54</v>
      </c>
      <c r="C13" s="108" t="s">
        <v>62</v>
      </c>
      <c r="D13" s="108" t="s">
        <v>164</v>
      </c>
      <c r="E13" s="109">
        <v>83412.565384615358</v>
      </c>
      <c r="F13" s="109">
        <v>75468.51153846152</v>
      </c>
      <c r="G13" s="110" t="s">
        <v>194</v>
      </c>
      <c r="H13" s="109">
        <v>43692.296153846139</v>
      </c>
      <c r="I13" s="110" t="s">
        <v>195</v>
      </c>
      <c r="J13" s="109">
        <v>35748.242307692293</v>
      </c>
      <c r="K13" s="110" t="s">
        <v>196</v>
      </c>
      <c r="L13" s="109">
        <v>0</v>
      </c>
      <c r="M13" s="110" t="s">
        <v>187</v>
      </c>
    </row>
    <row r="14" spans="1:13" ht="45" x14ac:dyDescent="0.25">
      <c r="A14" s="108" t="s">
        <v>26</v>
      </c>
      <c r="B14" s="108" t="s">
        <v>54</v>
      </c>
      <c r="C14" s="108" t="s">
        <v>62</v>
      </c>
      <c r="D14" s="108" t="s">
        <v>165</v>
      </c>
      <c r="E14" s="109">
        <v>19860.13461538461</v>
      </c>
      <c r="F14" s="109">
        <v>7944.0538461538445</v>
      </c>
      <c r="G14" s="110" t="s">
        <v>197</v>
      </c>
      <c r="H14" s="109">
        <v>0</v>
      </c>
      <c r="I14" s="110" t="s">
        <v>187</v>
      </c>
      <c r="J14" s="109">
        <v>0</v>
      </c>
      <c r="K14" s="110" t="s">
        <v>187</v>
      </c>
      <c r="L14" s="109">
        <v>0</v>
      </c>
      <c r="M14" s="110" t="s">
        <v>187</v>
      </c>
    </row>
    <row r="15" spans="1:13" ht="45" x14ac:dyDescent="0.25">
      <c r="A15" s="108" t="s">
        <v>26</v>
      </c>
      <c r="B15" s="108" t="s">
        <v>54</v>
      </c>
      <c r="C15" s="108" t="s">
        <v>64</v>
      </c>
      <c r="D15" s="108" t="s">
        <v>164</v>
      </c>
      <c r="E15" s="109">
        <v>53557.390769230769</v>
      </c>
      <c r="F15" s="109">
        <v>53557.390769230769</v>
      </c>
      <c r="G15" s="110" t="s">
        <v>186</v>
      </c>
      <c r="H15" s="109">
        <v>53557.390769230769</v>
      </c>
      <c r="I15" s="110" t="s">
        <v>186</v>
      </c>
      <c r="J15" s="109">
        <v>53557.390769230769</v>
      </c>
      <c r="K15" s="110" t="s">
        <v>186</v>
      </c>
      <c r="L15" s="109">
        <v>53557.390769230769</v>
      </c>
      <c r="M15" s="110" t="s">
        <v>186</v>
      </c>
    </row>
    <row r="16" spans="1:13" ht="45" x14ac:dyDescent="0.25">
      <c r="A16" s="108" t="s">
        <v>26</v>
      </c>
      <c r="B16" s="108" t="s">
        <v>54</v>
      </c>
      <c r="C16" s="108" t="s">
        <v>64</v>
      </c>
      <c r="D16" s="108" t="s">
        <v>165</v>
      </c>
      <c r="E16" s="109">
        <v>33473.369230769233</v>
      </c>
      <c r="F16" s="109">
        <v>33473.369230769233</v>
      </c>
      <c r="G16" s="110" t="s">
        <v>186</v>
      </c>
      <c r="H16" s="109">
        <v>33473.369230769233</v>
      </c>
      <c r="I16" s="110" t="s">
        <v>186</v>
      </c>
      <c r="J16" s="109">
        <v>33473.369230769233</v>
      </c>
      <c r="K16" s="110" t="s">
        <v>186</v>
      </c>
      <c r="L16" s="109">
        <v>33473.369230769233</v>
      </c>
      <c r="M16" s="110" t="s">
        <v>186</v>
      </c>
    </row>
    <row r="17" spans="1:13" ht="45" x14ac:dyDescent="0.25">
      <c r="A17" s="108" t="s">
        <v>26</v>
      </c>
      <c r="B17" s="108" t="s">
        <v>54</v>
      </c>
      <c r="C17" s="108" t="s">
        <v>71</v>
      </c>
      <c r="D17" s="108" t="s">
        <v>164</v>
      </c>
      <c r="E17" s="109">
        <v>82046.400000000009</v>
      </c>
      <c r="F17" s="109">
        <v>82046.400000000009</v>
      </c>
      <c r="G17" s="110" t="s">
        <v>186</v>
      </c>
      <c r="H17" s="109">
        <v>82046.400000000009</v>
      </c>
      <c r="I17" s="110" t="s">
        <v>186</v>
      </c>
      <c r="J17" s="109">
        <v>82046.400000000009</v>
      </c>
      <c r="K17" s="110" t="s">
        <v>186</v>
      </c>
      <c r="L17" s="109">
        <v>82046.400000000009</v>
      </c>
      <c r="M17" s="110" t="s">
        <v>186</v>
      </c>
    </row>
    <row r="18" spans="1:13" ht="45" x14ac:dyDescent="0.25">
      <c r="A18" s="108" t="s">
        <v>26</v>
      </c>
      <c r="B18" s="108" t="s">
        <v>54</v>
      </c>
      <c r="C18" s="108" t="s">
        <v>75</v>
      </c>
      <c r="D18" s="108" t="s">
        <v>164</v>
      </c>
      <c r="E18" s="109">
        <v>80497.16</v>
      </c>
      <c r="F18" s="109">
        <v>80497.16</v>
      </c>
      <c r="G18" s="110" t="s">
        <v>186</v>
      </c>
      <c r="H18" s="109">
        <v>80497.16</v>
      </c>
      <c r="I18" s="110" t="s">
        <v>186</v>
      </c>
      <c r="J18" s="109">
        <v>80497.16</v>
      </c>
      <c r="K18" s="110" t="s">
        <v>186</v>
      </c>
      <c r="L18" s="109">
        <v>80497.16</v>
      </c>
      <c r="M18" s="110" t="s">
        <v>186</v>
      </c>
    </row>
    <row r="19" spans="1:13" ht="45" x14ac:dyDescent="0.25">
      <c r="A19" s="108" t="s">
        <v>26</v>
      </c>
      <c r="B19" s="108" t="s">
        <v>54</v>
      </c>
      <c r="C19" s="108" t="s">
        <v>81</v>
      </c>
      <c r="D19" s="108" t="s">
        <v>165</v>
      </c>
      <c r="E19" s="109">
        <v>89010.219999999987</v>
      </c>
      <c r="F19" s="109">
        <v>89010.219999999987</v>
      </c>
      <c r="G19" s="110" t="s">
        <v>186</v>
      </c>
      <c r="H19" s="109">
        <v>89010.219999999987</v>
      </c>
      <c r="I19" s="110" t="s">
        <v>186</v>
      </c>
      <c r="J19" s="109">
        <v>89010.219999999987</v>
      </c>
      <c r="K19" s="110" t="s">
        <v>186</v>
      </c>
      <c r="L19" s="109">
        <v>89010.219999999987</v>
      </c>
      <c r="M19" s="110" t="s">
        <v>186</v>
      </c>
    </row>
    <row r="20" spans="1:13" ht="45" x14ac:dyDescent="0.25">
      <c r="A20" s="108" t="s">
        <v>26</v>
      </c>
      <c r="B20" s="108" t="s">
        <v>54</v>
      </c>
      <c r="C20" s="108" t="s">
        <v>85</v>
      </c>
      <c r="D20" s="108" t="s">
        <v>165</v>
      </c>
      <c r="E20" s="109">
        <v>88239.10000000002</v>
      </c>
      <c r="F20" s="109">
        <v>88239.10000000002</v>
      </c>
      <c r="G20" s="110" t="s">
        <v>186</v>
      </c>
      <c r="H20" s="109">
        <v>88239.10000000002</v>
      </c>
      <c r="I20" s="110" t="s">
        <v>186</v>
      </c>
      <c r="J20" s="109">
        <v>88239.10000000002</v>
      </c>
      <c r="K20" s="110" t="s">
        <v>186</v>
      </c>
      <c r="L20" s="109">
        <v>88239.10000000002</v>
      </c>
      <c r="M20" s="110" t="s">
        <v>186</v>
      </c>
    </row>
    <row r="21" spans="1:13" ht="45" x14ac:dyDescent="0.25">
      <c r="A21" s="108" t="s">
        <v>26</v>
      </c>
      <c r="B21" s="108" t="s">
        <v>54</v>
      </c>
      <c r="C21" s="108" t="s">
        <v>86</v>
      </c>
      <c r="D21" s="108" t="s">
        <v>164</v>
      </c>
      <c r="E21" s="109">
        <v>20377.497966666666</v>
      </c>
      <c r="F21" s="109">
        <v>3396.249661111111</v>
      </c>
      <c r="G21" s="110" t="s">
        <v>205</v>
      </c>
      <c r="H21" s="109">
        <v>0</v>
      </c>
      <c r="I21" s="110" t="s">
        <v>187</v>
      </c>
      <c r="J21" s="109">
        <v>0</v>
      </c>
      <c r="K21" s="110" t="s">
        <v>187</v>
      </c>
      <c r="L21" s="109">
        <v>0</v>
      </c>
      <c r="M21" s="110" t="s">
        <v>187</v>
      </c>
    </row>
    <row r="22" spans="1:13" ht="45" x14ac:dyDescent="0.25">
      <c r="A22" s="108" t="s">
        <v>26</v>
      </c>
      <c r="B22" s="108" t="s">
        <v>54</v>
      </c>
      <c r="C22" s="108" t="s">
        <v>86</v>
      </c>
      <c r="D22" s="108" t="s">
        <v>165</v>
      </c>
      <c r="E22" s="109">
        <v>40754.995933333332</v>
      </c>
      <c r="F22" s="109">
        <v>3396.249661111111</v>
      </c>
      <c r="G22" s="110" t="s">
        <v>204</v>
      </c>
      <c r="H22" s="109">
        <v>3396.249661111111</v>
      </c>
      <c r="I22" s="110" t="s">
        <v>204</v>
      </c>
      <c r="J22" s="109">
        <v>0</v>
      </c>
      <c r="K22" s="110" t="s">
        <v>187</v>
      </c>
      <c r="L22" s="109">
        <v>0</v>
      </c>
      <c r="M22" s="110" t="s">
        <v>187</v>
      </c>
    </row>
    <row r="23" spans="1:13" ht="45" x14ac:dyDescent="0.25">
      <c r="A23" s="108" t="s">
        <v>26</v>
      </c>
      <c r="B23" s="108" t="s">
        <v>54</v>
      </c>
      <c r="C23" s="108" t="s">
        <v>88</v>
      </c>
      <c r="D23" s="108" t="s">
        <v>164</v>
      </c>
      <c r="E23" s="109">
        <v>37721.30214</v>
      </c>
      <c r="F23" s="109">
        <v>13621.581328333334</v>
      </c>
      <c r="G23" s="110" t="s">
        <v>206</v>
      </c>
      <c r="H23" s="109">
        <v>12573.767379999999</v>
      </c>
      <c r="I23" s="110" t="s">
        <v>207</v>
      </c>
      <c r="J23" s="109">
        <v>9430.3255349999999</v>
      </c>
      <c r="K23" s="110" t="s">
        <v>208</v>
      </c>
      <c r="L23" s="109">
        <v>0</v>
      </c>
      <c r="M23" s="110" t="s">
        <v>187</v>
      </c>
    </row>
    <row r="24" spans="1:13" ht="45" x14ac:dyDescent="0.25">
      <c r="A24" s="108" t="s">
        <v>26</v>
      </c>
      <c r="B24" s="108" t="s">
        <v>54</v>
      </c>
      <c r="C24" s="108" t="s">
        <v>88</v>
      </c>
      <c r="D24" s="108" t="s">
        <v>165</v>
      </c>
      <c r="E24" s="109">
        <v>25147.534760000002</v>
      </c>
      <c r="F24" s="109">
        <v>0</v>
      </c>
      <c r="G24" s="110" t="s">
        <v>187</v>
      </c>
      <c r="H24" s="109">
        <v>0</v>
      </c>
      <c r="I24" s="110" t="s">
        <v>187</v>
      </c>
      <c r="J24" s="109">
        <v>0</v>
      </c>
      <c r="K24" s="110" t="s">
        <v>187</v>
      </c>
      <c r="L24" s="109">
        <v>0</v>
      </c>
      <c r="M24" s="110" t="s">
        <v>187</v>
      </c>
    </row>
    <row r="25" spans="1:13" ht="45" x14ac:dyDescent="0.25">
      <c r="A25" s="108" t="s">
        <v>26</v>
      </c>
      <c r="B25" s="108" t="s">
        <v>54</v>
      </c>
      <c r="C25" s="108" t="s">
        <v>91</v>
      </c>
      <c r="D25" s="108" t="s">
        <v>164</v>
      </c>
      <c r="E25" s="109">
        <v>51218.906666666669</v>
      </c>
      <c r="F25" s="109">
        <v>0</v>
      </c>
      <c r="G25" s="110" t="s">
        <v>187</v>
      </c>
      <c r="H25" s="109">
        <v>0</v>
      </c>
      <c r="I25" s="110" t="s">
        <v>187</v>
      </c>
      <c r="J25" s="109">
        <v>0</v>
      </c>
      <c r="K25" s="110" t="s">
        <v>187</v>
      </c>
      <c r="L25" s="109">
        <v>0</v>
      </c>
      <c r="M25" s="110" t="s">
        <v>187</v>
      </c>
    </row>
    <row r="26" spans="1:13" ht="45" x14ac:dyDescent="0.25">
      <c r="A26" s="108" t="s">
        <v>26</v>
      </c>
      <c r="B26" s="108" t="s">
        <v>54</v>
      </c>
      <c r="C26" s="108" t="s">
        <v>91</v>
      </c>
      <c r="D26" s="108" t="s">
        <v>165</v>
      </c>
      <c r="E26" s="109">
        <v>25609.453333333335</v>
      </c>
      <c r="F26" s="109">
        <v>0</v>
      </c>
      <c r="G26" s="110" t="s">
        <v>187</v>
      </c>
      <c r="H26" s="109">
        <v>0</v>
      </c>
      <c r="I26" s="110" t="s">
        <v>187</v>
      </c>
      <c r="J26" s="109">
        <v>0</v>
      </c>
      <c r="K26" s="110" t="s">
        <v>187</v>
      </c>
      <c r="L26" s="109">
        <v>0</v>
      </c>
      <c r="M26" s="110" t="s">
        <v>187</v>
      </c>
    </row>
    <row r="27" spans="1:13" x14ac:dyDescent="0.25">
      <c r="A27" s="108" t="s">
        <v>26</v>
      </c>
      <c r="B27" s="108" t="s">
        <v>27</v>
      </c>
      <c r="C27" s="108" t="s">
        <v>28</v>
      </c>
      <c r="D27" s="108" t="s">
        <v>30</v>
      </c>
      <c r="E27" s="109">
        <v>96552.957720588165</v>
      </c>
      <c r="F27" s="109">
        <v>96552.957720588165</v>
      </c>
      <c r="G27" s="110" t="s">
        <v>186</v>
      </c>
      <c r="H27" s="109">
        <v>96552.957720588165</v>
      </c>
      <c r="I27" s="110" t="s">
        <v>186</v>
      </c>
      <c r="J27" s="109">
        <v>96552.957720588165</v>
      </c>
      <c r="K27" s="110" t="s">
        <v>186</v>
      </c>
      <c r="L27" s="109">
        <v>96552.957720588165</v>
      </c>
      <c r="M27" s="110" t="s">
        <v>186</v>
      </c>
    </row>
    <row r="28" spans="1:13" ht="45" x14ac:dyDescent="0.25">
      <c r="A28" s="108" t="s">
        <v>26</v>
      </c>
      <c r="B28" s="108" t="s">
        <v>27</v>
      </c>
      <c r="C28" s="108" t="s">
        <v>96</v>
      </c>
      <c r="D28" s="108" t="s">
        <v>32</v>
      </c>
      <c r="E28" s="109">
        <v>7161.8114376280319</v>
      </c>
      <c r="F28" s="109">
        <v>7161.8114376280319</v>
      </c>
      <c r="G28" s="110" t="s">
        <v>186</v>
      </c>
      <c r="H28" s="109">
        <v>7161.8114376280319</v>
      </c>
      <c r="I28" s="110" t="s">
        <v>186</v>
      </c>
      <c r="J28" s="109">
        <v>7161.8114376280319</v>
      </c>
      <c r="K28" s="110" t="s">
        <v>186</v>
      </c>
      <c r="L28" s="109">
        <v>7161.8114376280319</v>
      </c>
      <c r="M28" s="110" t="s">
        <v>186</v>
      </c>
    </row>
    <row r="29" spans="1:13" x14ac:dyDescent="0.25">
      <c r="A29" s="108" t="s">
        <v>26</v>
      </c>
      <c r="B29" s="108" t="s">
        <v>27</v>
      </c>
      <c r="C29" s="108" t="s">
        <v>31</v>
      </c>
      <c r="D29" s="108" t="s">
        <v>33</v>
      </c>
      <c r="E29" s="109">
        <v>108361.32088237196</v>
      </c>
      <c r="F29" s="109">
        <v>108361.32088237196</v>
      </c>
      <c r="G29" s="110" t="s">
        <v>186</v>
      </c>
      <c r="H29" s="109">
        <v>108361.32088237196</v>
      </c>
      <c r="I29" s="110" t="s">
        <v>186</v>
      </c>
      <c r="J29" s="109">
        <v>108361.32088237196</v>
      </c>
      <c r="K29" s="110" t="s">
        <v>186</v>
      </c>
      <c r="L29" s="109">
        <v>108361.32088237196</v>
      </c>
      <c r="M29" s="110" t="s">
        <v>186</v>
      </c>
    </row>
    <row r="30" spans="1:13" ht="45" x14ac:dyDescent="0.25">
      <c r="A30" s="108" t="s">
        <v>26</v>
      </c>
      <c r="B30" s="108" t="s">
        <v>27</v>
      </c>
      <c r="C30" s="108" t="s">
        <v>97</v>
      </c>
      <c r="D30" s="108" t="s">
        <v>35</v>
      </c>
      <c r="E30" s="109">
        <v>28819.23</v>
      </c>
      <c r="F30" s="109">
        <v>28819.23</v>
      </c>
      <c r="G30" s="110" t="s">
        <v>186</v>
      </c>
      <c r="H30" s="109">
        <v>28819.23</v>
      </c>
      <c r="I30" s="110" t="s">
        <v>186</v>
      </c>
      <c r="J30" s="109">
        <v>28819.23</v>
      </c>
      <c r="K30" s="110" t="s">
        <v>186</v>
      </c>
      <c r="L30" s="109">
        <v>28819.23</v>
      </c>
      <c r="M30" s="110" t="s">
        <v>186</v>
      </c>
    </row>
    <row r="31" spans="1:13" x14ac:dyDescent="0.25">
      <c r="A31" s="108" t="s">
        <v>26</v>
      </c>
      <c r="B31" s="108" t="s">
        <v>27</v>
      </c>
      <c r="C31" s="108" t="s">
        <v>34</v>
      </c>
      <c r="D31" s="108" t="s">
        <v>36</v>
      </c>
      <c r="E31" s="109">
        <v>41918.879999999997</v>
      </c>
      <c r="F31" s="109">
        <v>41918.879999999997</v>
      </c>
      <c r="G31" s="110" t="s">
        <v>186</v>
      </c>
      <c r="H31" s="109">
        <v>41918.879999999997</v>
      </c>
      <c r="I31" s="110" t="s">
        <v>186</v>
      </c>
      <c r="J31" s="109">
        <v>41918.879999999997</v>
      </c>
      <c r="K31" s="110" t="s">
        <v>186</v>
      </c>
      <c r="L31" s="109">
        <v>41918.879999999997</v>
      </c>
      <c r="M31" s="110" t="s">
        <v>186</v>
      </c>
    </row>
    <row r="32" spans="1:13" ht="45" x14ac:dyDescent="0.25">
      <c r="A32" s="108" t="s">
        <v>26</v>
      </c>
      <c r="B32" s="108" t="s">
        <v>27</v>
      </c>
      <c r="C32" s="108" t="s">
        <v>154</v>
      </c>
      <c r="D32" s="108" t="s">
        <v>155</v>
      </c>
      <c r="E32" s="109">
        <v>69664.792279411718</v>
      </c>
      <c r="F32" s="109">
        <v>69664.792279411718</v>
      </c>
      <c r="G32" s="110" t="s">
        <v>186</v>
      </c>
      <c r="H32" s="109">
        <v>69664.792279411718</v>
      </c>
      <c r="I32" s="110" t="s">
        <v>186</v>
      </c>
      <c r="J32" s="109">
        <v>69664.792279411718</v>
      </c>
      <c r="K32" s="110" t="s">
        <v>186</v>
      </c>
      <c r="L32" s="109">
        <v>69664.792279411718</v>
      </c>
      <c r="M32" s="110" t="s">
        <v>186</v>
      </c>
    </row>
    <row r="33" spans="1:13" x14ac:dyDescent="0.25">
      <c r="A33" s="108" t="s">
        <v>26</v>
      </c>
      <c r="B33" s="108" t="s">
        <v>37</v>
      </c>
      <c r="C33" s="108" t="s">
        <v>38</v>
      </c>
      <c r="D33" s="108" t="s">
        <v>30</v>
      </c>
      <c r="E33" s="109">
        <v>202798.24999999991</v>
      </c>
      <c r="F33" s="109">
        <v>202798.24999999991</v>
      </c>
      <c r="G33" s="110" t="s">
        <v>186</v>
      </c>
      <c r="H33" s="109">
        <v>202798.24999999991</v>
      </c>
      <c r="I33" s="110" t="s">
        <v>186</v>
      </c>
      <c r="J33" s="109">
        <v>202798.24999999991</v>
      </c>
      <c r="K33" s="110" t="s">
        <v>186</v>
      </c>
      <c r="L33" s="109">
        <v>202798.24999999991</v>
      </c>
      <c r="M33" s="110" t="s">
        <v>186</v>
      </c>
    </row>
    <row r="34" spans="1:13" ht="45" x14ac:dyDescent="0.25">
      <c r="A34" s="108" t="s">
        <v>26</v>
      </c>
      <c r="B34" s="108" t="s">
        <v>37</v>
      </c>
      <c r="C34" s="108" t="s">
        <v>98</v>
      </c>
      <c r="D34" s="108" t="s">
        <v>40</v>
      </c>
      <c r="E34" s="109">
        <v>14225.697777777767</v>
      </c>
      <c r="F34" s="109">
        <v>14225.697777777767</v>
      </c>
      <c r="G34" s="110" t="s">
        <v>186</v>
      </c>
      <c r="H34" s="109">
        <v>14225.697777777767</v>
      </c>
      <c r="I34" s="110" t="s">
        <v>186</v>
      </c>
      <c r="J34" s="109">
        <v>14225.697777777767</v>
      </c>
      <c r="K34" s="110" t="s">
        <v>186</v>
      </c>
      <c r="L34" s="109">
        <v>14225.697777777767</v>
      </c>
      <c r="M34" s="110" t="s">
        <v>186</v>
      </c>
    </row>
    <row r="35" spans="1:13" x14ac:dyDescent="0.25">
      <c r="A35" s="108" t="s">
        <v>26</v>
      </c>
      <c r="B35" s="108" t="s">
        <v>37</v>
      </c>
      <c r="C35" s="108" t="s">
        <v>39</v>
      </c>
      <c r="D35" s="108" t="s">
        <v>41</v>
      </c>
      <c r="E35" s="109">
        <v>33786.032222222195</v>
      </c>
      <c r="F35" s="109">
        <v>33786.032222222195</v>
      </c>
      <c r="G35" s="110" t="s">
        <v>186</v>
      </c>
      <c r="H35" s="109">
        <v>33786.032222222195</v>
      </c>
      <c r="I35" s="110" t="s">
        <v>186</v>
      </c>
      <c r="J35" s="109">
        <v>33786.032222222195</v>
      </c>
      <c r="K35" s="110" t="s">
        <v>186</v>
      </c>
      <c r="L35" s="109">
        <v>33786.032222222195</v>
      </c>
      <c r="M35" s="110" t="s">
        <v>186</v>
      </c>
    </row>
    <row r="36" spans="1:13" x14ac:dyDescent="0.25">
      <c r="A36" s="108" t="s">
        <v>26</v>
      </c>
      <c r="B36" s="108" t="s">
        <v>48</v>
      </c>
      <c r="C36" s="108" t="s">
        <v>50</v>
      </c>
      <c r="D36" s="108" t="s">
        <v>30</v>
      </c>
      <c r="E36" s="109">
        <v>197930.57800000015</v>
      </c>
      <c r="F36" s="109">
        <v>197930.57800000015</v>
      </c>
      <c r="G36" s="110" t="s">
        <v>186</v>
      </c>
      <c r="H36" s="109">
        <v>197930.57800000015</v>
      </c>
      <c r="I36" s="110" t="s">
        <v>186</v>
      </c>
      <c r="J36" s="109">
        <v>197930.57800000015</v>
      </c>
      <c r="K36" s="110" t="s">
        <v>186</v>
      </c>
      <c r="L36" s="109">
        <v>197930.57800000015</v>
      </c>
      <c r="M36" s="110" t="s">
        <v>186</v>
      </c>
    </row>
    <row r="37" spans="1:13" ht="45" x14ac:dyDescent="0.25">
      <c r="A37" s="108" t="s">
        <v>26</v>
      </c>
      <c r="B37" s="108" t="s">
        <v>48</v>
      </c>
      <c r="C37" s="108" t="s">
        <v>99</v>
      </c>
      <c r="D37" s="108" t="s">
        <v>40</v>
      </c>
      <c r="E37" s="109">
        <v>48039.180472087894</v>
      </c>
      <c r="F37" s="109">
        <v>48039.180472087894</v>
      </c>
      <c r="G37" s="110" t="s">
        <v>186</v>
      </c>
      <c r="H37" s="109">
        <v>48039.180472087894</v>
      </c>
      <c r="I37" s="110" t="s">
        <v>186</v>
      </c>
      <c r="J37" s="109">
        <v>48039.180472087894</v>
      </c>
      <c r="K37" s="110" t="s">
        <v>186</v>
      </c>
      <c r="L37" s="109">
        <v>48039.180472087894</v>
      </c>
      <c r="M37" s="110" t="s">
        <v>186</v>
      </c>
    </row>
    <row r="38" spans="1:13" x14ac:dyDescent="0.25">
      <c r="A38" s="108" t="s">
        <v>26</v>
      </c>
      <c r="B38" s="108" t="s">
        <v>48</v>
      </c>
      <c r="C38" s="108" t="s">
        <v>49</v>
      </c>
      <c r="D38" s="108" t="s">
        <v>41</v>
      </c>
      <c r="E38" s="109">
        <v>113870.65000791205</v>
      </c>
      <c r="F38" s="109">
        <v>113870.65000791205</v>
      </c>
      <c r="G38" s="110" t="s">
        <v>186</v>
      </c>
      <c r="H38" s="109">
        <v>113870.65000791205</v>
      </c>
      <c r="I38" s="110" t="s">
        <v>186</v>
      </c>
      <c r="J38" s="109">
        <v>113870.65000791205</v>
      </c>
      <c r="K38" s="110" t="s">
        <v>186</v>
      </c>
      <c r="L38" s="109">
        <v>113870.65000791205</v>
      </c>
      <c r="M38" s="110" t="s">
        <v>186</v>
      </c>
    </row>
    <row r="39" spans="1:13" x14ac:dyDescent="0.25">
      <c r="A39" s="108" t="s">
        <v>26</v>
      </c>
      <c r="B39" s="108" t="s">
        <v>48</v>
      </c>
      <c r="C39" s="108" t="s">
        <v>53</v>
      </c>
      <c r="D39" s="108" t="s">
        <v>30</v>
      </c>
      <c r="E39" s="109">
        <v>38583.482900000025</v>
      </c>
      <c r="F39" s="109">
        <v>38583.482900000025</v>
      </c>
      <c r="G39" s="110" t="s">
        <v>186</v>
      </c>
      <c r="H39" s="109">
        <v>38583.482900000025</v>
      </c>
      <c r="I39" s="110" t="s">
        <v>186</v>
      </c>
      <c r="J39" s="109">
        <v>38583.482900000025</v>
      </c>
      <c r="K39" s="110" t="s">
        <v>186</v>
      </c>
      <c r="L39" s="109">
        <v>38583.482900000025</v>
      </c>
      <c r="M39" s="110" t="s">
        <v>186</v>
      </c>
    </row>
    <row r="40" spans="1:13" x14ac:dyDescent="0.25">
      <c r="A40" s="108" t="s">
        <v>26</v>
      </c>
      <c r="B40" s="108" t="s">
        <v>42</v>
      </c>
      <c r="C40" s="108" t="s">
        <v>43</v>
      </c>
      <c r="D40" s="108" t="s">
        <v>30</v>
      </c>
      <c r="E40" s="109">
        <v>117331.45999999999</v>
      </c>
      <c r="F40" s="109">
        <v>117331.45999999999</v>
      </c>
      <c r="G40" s="110" t="s">
        <v>186</v>
      </c>
      <c r="H40" s="109">
        <v>117331.45999999999</v>
      </c>
      <c r="I40" s="110" t="s">
        <v>186</v>
      </c>
      <c r="J40" s="109">
        <v>117331.45999999999</v>
      </c>
      <c r="K40" s="110" t="s">
        <v>186</v>
      </c>
      <c r="L40" s="109">
        <v>117331.45999999999</v>
      </c>
      <c r="M40" s="110" t="s">
        <v>186</v>
      </c>
    </row>
    <row r="41" spans="1:13" ht="45" x14ac:dyDescent="0.25">
      <c r="A41" s="108" t="s">
        <v>26</v>
      </c>
      <c r="B41" s="108" t="s">
        <v>42</v>
      </c>
      <c r="C41" s="108" t="s">
        <v>100</v>
      </c>
      <c r="D41" s="108" t="s">
        <v>40</v>
      </c>
      <c r="E41" s="109">
        <v>31371.858461538464</v>
      </c>
      <c r="F41" s="109">
        <v>31371.858461538464</v>
      </c>
      <c r="G41" s="110" t="s">
        <v>186</v>
      </c>
      <c r="H41" s="109">
        <v>31371.858461538464</v>
      </c>
      <c r="I41" s="110" t="s">
        <v>186</v>
      </c>
      <c r="J41" s="109">
        <v>31371.858461538464</v>
      </c>
      <c r="K41" s="110" t="s">
        <v>186</v>
      </c>
      <c r="L41" s="109">
        <v>31371.858461538464</v>
      </c>
      <c r="M41" s="110" t="s">
        <v>186</v>
      </c>
    </row>
    <row r="42" spans="1:13" x14ac:dyDescent="0.25">
      <c r="A42" s="108" t="s">
        <v>26</v>
      </c>
      <c r="B42" s="108" t="s">
        <v>42</v>
      </c>
      <c r="C42" s="108" t="s">
        <v>44</v>
      </c>
      <c r="D42" s="108" t="s">
        <v>41</v>
      </c>
      <c r="E42" s="109">
        <v>53593.591538461544</v>
      </c>
      <c r="F42" s="109">
        <v>53593.591538461544</v>
      </c>
      <c r="G42" s="110" t="s">
        <v>186</v>
      </c>
      <c r="H42" s="109">
        <v>53593.591538461544</v>
      </c>
      <c r="I42" s="110" t="s">
        <v>186</v>
      </c>
      <c r="J42" s="109">
        <v>53593.591538461544</v>
      </c>
      <c r="K42" s="110" t="s">
        <v>186</v>
      </c>
      <c r="L42" s="109">
        <v>53593.591538461544</v>
      </c>
      <c r="M42" s="110" t="s">
        <v>186</v>
      </c>
    </row>
    <row r="43" spans="1:13" ht="45" x14ac:dyDescent="0.25">
      <c r="A43" s="108" t="s">
        <v>26</v>
      </c>
      <c r="B43" s="108" t="s">
        <v>42</v>
      </c>
      <c r="C43" s="108" t="s">
        <v>156</v>
      </c>
      <c r="D43" s="108" t="s">
        <v>157</v>
      </c>
      <c r="E43" s="109">
        <v>18310.153273878263</v>
      </c>
      <c r="F43" s="109">
        <v>18310.153273878263</v>
      </c>
      <c r="G43" s="110" t="s">
        <v>186</v>
      </c>
      <c r="H43" s="109">
        <v>18310.153273878263</v>
      </c>
      <c r="I43" s="110" t="s">
        <v>186</v>
      </c>
      <c r="J43" s="109">
        <v>18310.153273878263</v>
      </c>
      <c r="K43" s="110" t="s">
        <v>186</v>
      </c>
      <c r="L43" s="109">
        <v>18310.153273878263</v>
      </c>
      <c r="M43" s="110" t="s">
        <v>186</v>
      </c>
    </row>
    <row r="44" spans="1:13" x14ac:dyDescent="0.25">
      <c r="A44" s="108" t="s">
        <v>26</v>
      </c>
      <c r="B44" s="108" t="s">
        <v>42</v>
      </c>
      <c r="C44" s="108" t="s">
        <v>45</v>
      </c>
      <c r="D44" s="108" t="s">
        <v>46</v>
      </c>
      <c r="E44" s="109">
        <v>26811.295865321739</v>
      </c>
      <c r="F44" s="109">
        <v>26811.295865321739</v>
      </c>
      <c r="G44" s="110" t="s">
        <v>186</v>
      </c>
      <c r="H44" s="109">
        <v>26811.295865321739</v>
      </c>
      <c r="I44" s="110" t="s">
        <v>186</v>
      </c>
      <c r="J44" s="109">
        <v>26811.295865321739</v>
      </c>
      <c r="K44" s="110" t="s">
        <v>186</v>
      </c>
      <c r="L44" s="109">
        <v>26811.295865321739</v>
      </c>
      <c r="M44" s="110" t="s">
        <v>186</v>
      </c>
    </row>
    <row r="45" spans="1:13" x14ac:dyDescent="0.25">
      <c r="A45" s="108" t="s">
        <v>26</v>
      </c>
      <c r="B45" s="108" t="s">
        <v>42</v>
      </c>
      <c r="C45" s="108" t="s">
        <v>92</v>
      </c>
      <c r="D45" s="108" t="s">
        <v>30</v>
      </c>
      <c r="E45" s="109">
        <v>19379.126958333338</v>
      </c>
      <c r="F45" s="109">
        <v>19379.126958333338</v>
      </c>
      <c r="G45" s="110" t="s">
        <v>186</v>
      </c>
      <c r="H45" s="109">
        <v>19379.126958333338</v>
      </c>
      <c r="I45" s="110" t="s">
        <v>186</v>
      </c>
      <c r="J45" s="109">
        <v>19379.126958333338</v>
      </c>
      <c r="K45" s="110" t="s">
        <v>186</v>
      </c>
      <c r="L45" s="109">
        <v>19379.126958333338</v>
      </c>
      <c r="M45" s="110" t="s">
        <v>186</v>
      </c>
    </row>
    <row r="46" spans="1:13" x14ac:dyDescent="0.25">
      <c r="A46" s="108" t="s">
        <v>26</v>
      </c>
      <c r="B46" s="108" t="s">
        <v>42</v>
      </c>
      <c r="C46" s="108" t="s">
        <v>158</v>
      </c>
      <c r="D46" s="108" t="s">
        <v>30</v>
      </c>
      <c r="E46" s="109">
        <v>3875.8253916666677</v>
      </c>
      <c r="F46" s="109">
        <v>3875.8253916666677</v>
      </c>
      <c r="G46" s="110" t="s">
        <v>186</v>
      </c>
      <c r="H46" s="109">
        <v>3875.8253916666677</v>
      </c>
      <c r="I46" s="110" t="s">
        <v>186</v>
      </c>
      <c r="J46" s="109">
        <v>3875.8253916666677</v>
      </c>
      <c r="K46" s="110" t="s">
        <v>186</v>
      </c>
      <c r="L46" s="109">
        <v>3875.8253916666677</v>
      </c>
      <c r="M46" s="110" t="s">
        <v>186</v>
      </c>
    </row>
    <row r="47" spans="1:13" x14ac:dyDescent="0.25">
      <c r="A47" s="108" t="s">
        <v>26</v>
      </c>
      <c r="B47" s="108" t="s">
        <v>47</v>
      </c>
      <c r="C47" s="108" t="s">
        <v>47</v>
      </c>
      <c r="D47" s="108" t="s">
        <v>30</v>
      </c>
      <c r="E47" s="109">
        <v>231366.75872000019</v>
      </c>
      <c r="F47" s="109">
        <v>231366.75872000019</v>
      </c>
      <c r="G47" s="110" t="s">
        <v>186</v>
      </c>
      <c r="H47" s="109">
        <v>231366.75872000019</v>
      </c>
      <c r="I47" s="110" t="s">
        <v>186</v>
      </c>
      <c r="J47" s="109">
        <v>231366.75872000019</v>
      </c>
      <c r="K47" s="110" t="s">
        <v>186</v>
      </c>
      <c r="L47" s="109">
        <v>231366.75872000019</v>
      </c>
      <c r="M47" s="110" t="s">
        <v>186</v>
      </c>
    </row>
    <row r="48" spans="1:13" ht="45" x14ac:dyDescent="0.25">
      <c r="A48" s="108" t="s">
        <v>26</v>
      </c>
      <c r="B48" s="108" t="s">
        <v>51</v>
      </c>
      <c r="C48" s="108" t="s">
        <v>73</v>
      </c>
      <c r="D48" s="108" t="s">
        <v>159</v>
      </c>
      <c r="E48" s="109">
        <v>60975.073548387059</v>
      </c>
      <c r="F48" s="109">
        <v>60975.073548387059</v>
      </c>
      <c r="G48" s="110" t="s">
        <v>186</v>
      </c>
      <c r="H48" s="109">
        <v>60975.073548387059</v>
      </c>
      <c r="I48" s="110" t="s">
        <v>186</v>
      </c>
      <c r="J48" s="109">
        <v>60975.073548387059</v>
      </c>
      <c r="K48" s="110" t="s">
        <v>186</v>
      </c>
      <c r="L48" s="109">
        <v>60975.073548387059</v>
      </c>
      <c r="M48" s="110" t="s">
        <v>186</v>
      </c>
    </row>
    <row r="49" spans="1:13" ht="45" x14ac:dyDescent="0.25">
      <c r="A49" s="108" t="s">
        <v>26</v>
      </c>
      <c r="B49" s="108" t="s">
        <v>51</v>
      </c>
      <c r="C49" s="108" t="s">
        <v>73</v>
      </c>
      <c r="D49" s="108" t="s">
        <v>160</v>
      </c>
      <c r="E49" s="109">
        <v>46627.997419354811</v>
      </c>
      <c r="F49" s="109">
        <v>32280.92129032256</v>
      </c>
      <c r="G49" s="110" t="s">
        <v>192</v>
      </c>
      <c r="H49" s="109">
        <v>32280.92129032256</v>
      </c>
      <c r="I49" s="110" t="s">
        <v>192</v>
      </c>
      <c r="J49" s="109">
        <v>28694.1522580645</v>
      </c>
      <c r="K49" s="110" t="s">
        <v>193</v>
      </c>
      <c r="L49" s="109">
        <v>0</v>
      </c>
      <c r="M49" s="110" t="s">
        <v>187</v>
      </c>
    </row>
    <row r="50" spans="1:13" ht="45" x14ac:dyDescent="0.25">
      <c r="A50" s="108" t="s">
        <v>26</v>
      </c>
      <c r="B50" s="108" t="s">
        <v>51</v>
      </c>
      <c r="C50" s="108" t="s">
        <v>73</v>
      </c>
      <c r="D50" s="108" t="s">
        <v>161</v>
      </c>
      <c r="E50" s="109">
        <v>3586.7690322580625</v>
      </c>
      <c r="F50" s="109">
        <v>3586.7690322580625</v>
      </c>
      <c r="G50" s="110" t="s">
        <v>186</v>
      </c>
      <c r="H50" s="109">
        <v>3586.7690322580625</v>
      </c>
      <c r="I50" s="110" t="s">
        <v>186</v>
      </c>
      <c r="J50" s="109">
        <v>0</v>
      </c>
      <c r="K50" s="110" t="s">
        <v>187</v>
      </c>
      <c r="L50" s="109">
        <v>0</v>
      </c>
      <c r="M50" s="110" t="s">
        <v>187</v>
      </c>
    </row>
    <row r="51" spans="1:13" ht="45" x14ac:dyDescent="0.25">
      <c r="A51" s="108" t="s">
        <v>26</v>
      </c>
      <c r="B51" s="108" t="s">
        <v>51</v>
      </c>
      <c r="C51" s="108" t="s">
        <v>72</v>
      </c>
      <c r="D51" s="108" t="s">
        <v>159</v>
      </c>
      <c r="E51" s="109">
        <v>56297.169999999955</v>
      </c>
      <c r="F51" s="109">
        <v>56297.169999999955</v>
      </c>
      <c r="G51" s="110" t="s">
        <v>186</v>
      </c>
      <c r="H51" s="109">
        <v>56297.169999999955</v>
      </c>
      <c r="I51" s="110" t="s">
        <v>186</v>
      </c>
      <c r="J51" s="109">
        <v>56297.169999999955</v>
      </c>
      <c r="K51" s="110" t="s">
        <v>186</v>
      </c>
      <c r="L51" s="109">
        <v>56297.169999999955</v>
      </c>
      <c r="M51" s="110" t="s">
        <v>186</v>
      </c>
    </row>
    <row r="52" spans="1:13" ht="45" x14ac:dyDescent="0.25">
      <c r="A52" s="108" t="s">
        <v>26</v>
      </c>
      <c r="B52" s="108" t="s">
        <v>51</v>
      </c>
      <c r="C52" s="108" t="s">
        <v>72</v>
      </c>
      <c r="D52" s="108" t="s">
        <v>160</v>
      </c>
      <c r="E52" s="109">
        <v>56297.169999999955</v>
      </c>
      <c r="F52" s="109">
        <v>56297.169999999955</v>
      </c>
      <c r="G52" s="110" t="s">
        <v>186</v>
      </c>
      <c r="H52" s="109">
        <v>56297.169999999955</v>
      </c>
      <c r="I52" s="110" t="s">
        <v>186</v>
      </c>
      <c r="J52" s="109">
        <v>56297.169999999955</v>
      </c>
      <c r="K52" s="110" t="s">
        <v>186</v>
      </c>
      <c r="L52" s="109">
        <v>56297.169999999955</v>
      </c>
      <c r="M52" s="110" t="s">
        <v>186</v>
      </c>
    </row>
    <row r="53" spans="1:13" ht="45" x14ac:dyDescent="0.25">
      <c r="A53" s="108" t="s">
        <v>26</v>
      </c>
      <c r="B53" s="108" t="s">
        <v>51</v>
      </c>
      <c r="C53" s="108" t="s">
        <v>69</v>
      </c>
      <c r="D53" s="108" t="s">
        <v>159</v>
      </c>
      <c r="E53" s="109">
        <v>51802.619999999923</v>
      </c>
      <c r="F53" s="109">
        <v>51802.619999999923</v>
      </c>
      <c r="G53" s="110" t="s">
        <v>186</v>
      </c>
      <c r="H53" s="109">
        <v>51802.619999999923</v>
      </c>
      <c r="I53" s="110" t="s">
        <v>186</v>
      </c>
      <c r="J53" s="109">
        <v>51802.619999999923</v>
      </c>
      <c r="K53" s="110" t="s">
        <v>186</v>
      </c>
      <c r="L53" s="109">
        <v>51802.619999999923</v>
      </c>
      <c r="M53" s="110" t="s">
        <v>186</v>
      </c>
    </row>
    <row r="54" spans="1:13" ht="45" x14ac:dyDescent="0.25">
      <c r="A54" s="108" t="s">
        <v>26</v>
      </c>
      <c r="B54" s="108" t="s">
        <v>51</v>
      </c>
      <c r="C54" s="108" t="s">
        <v>69</v>
      </c>
      <c r="D54" s="108" t="s">
        <v>160</v>
      </c>
      <c r="E54" s="109">
        <v>51802.619999999923</v>
      </c>
      <c r="F54" s="109">
        <v>51802.619999999923</v>
      </c>
      <c r="G54" s="110" t="s">
        <v>186</v>
      </c>
      <c r="H54" s="109">
        <v>51802.619999999923</v>
      </c>
      <c r="I54" s="110" t="s">
        <v>186</v>
      </c>
      <c r="J54" s="109">
        <v>51802.619999999923</v>
      </c>
      <c r="K54" s="110" t="s">
        <v>186</v>
      </c>
      <c r="L54" s="109">
        <v>51802.619999999923</v>
      </c>
      <c r="M54" s="110" t="s">
        <v>186</v>
      </c>
    </row>
    <row r="55" spans="1:13" ht="45" x14ac:dyDescent="0.25">
      <c r="A55" s="108" t="s">
        <v>26</v>
      </c>
      <c r="B55" s="108" t="s">
        <v>51</v>
      </c>
      <c r="C55" s="108" t="s">
        <v>68</v>
      </c>
      <c r="D55" s="108" t="s">
        <v>159</v>
      </c>
      <c r="E55" s="109">
        <v>89929.743749999994</v>
      </c>
      <c r="F55" s="109">
        <v>89929.743749999994</v>
      </c>
      <c r="G55" s="110" t="s">
        <v>186</v>
      </c>
      <c r="H55" s="109">
        <v>89929.743749999994</v>
      </c>
      <c r="I55" s="110" t="s">
        <v>186</v>
      </c>
      <c r="J55" s="109">
        <v>89929.743749999994</v>
      </c>
      <c r="K55" s="110" t="s">
        <v>186</v>
      </c>
      <c r="L55" s="109">
        <v>89929.743749999994</v>
      </c>
      <c r="M55" s="110" t="s">
        <v>186</v>
      </c>
    </row>
    <row r="56" spans="1:13" ht="45" x14ac:dyDescent="0.25">
      <c r="A56" s="108" t="s">
        <v>26</v>
      </c>
      <c r="B56" s="108" t="s">
        <v>51</v>
      </c>
      <c r="C56" s="108" t="s">
        <v>68</v>
      </c>
      <c r="D56" s="108" t="s">
        <v>160</v>
      </c>
      <c r="E56" s="109">
        <v>5995.3162499999999</v>
      </c>
      <c r="F56" s="109">
        <v>5995.3162499999999</v>
      </c>
      <c r="G56" s="110" t="s">
        <v>186</v>
      </c>
      <c r="H56" s="109">
        <v>5995.3162499999999</v>
      </c>
      <c r="I56" s="110" t="s">
        <v>186</v>
      </c>
      <c r="J56" s="109">
        <v>5995.3162499999999</v>
      </c>
      <c r="K56" s="110" t="s">
        <v>186</v>
      </c>
      <c r="L56" s="109">
        <v>5995.3162499999999</v>
      </c>
      <c r="M56" s="110" t="s">
        <v>186</v>
      </c>
    </row>
    <row r="57" spans="1:13" ht="45" x14ac:dyDescent="0.25">
      <c r="A57" s="108" t="s">
        <v>26</v>
      </c>
      <c r="B57" s="108" t="s">
        <v>51</v>
      </c>
      <c r="C57" s="108" t="s">
        <v>60</v>
      </c>
      <c r="D57" s="108" t="s">
        <v>159</v>
      </c>
      <c r="E57" s="109">
        <v>84125.098536585356</v>
      </c>
      <c r="F57" s="109">
        <v>84125.098536585356</v>
      </c>
      <c r="G57" s="110" t="s">
        <v>186</v>
      </c>
      <c r="H57" s="109">
        <v>84125.098536585356</v>
      </c>
      <c r="I57" s="110" t="s">
        <v>186</v>
      </c>
      <c r="J57" s="109">
        <v>84125.098536585356</v>
      </c>
      <c r="K57" s="110" t="s">
        <v>186</v>
      </c>
      <c r="L57" s="109">
        <v>84125.098536585356</v>
      </c>
      <c r="M57" s="110" t="s">
        <v>186</v>
      </c>
    </row>
    <row r="58" spans="1:13" ht="45" x14ac:dyDescent="0.25">
      <c r="A58" s="108" t="s">
        <v>26</v>
      </c>
      <c r="B58" s="108" t="s">
        <v>51</v>
      </c>
      <c r="C58" s="108" t="s">
        <v>60</v>
      </c>
      <c r="D58" s="108" t="s">
        <v>160</v>
      </c>
      <c r="E58" s="109">
        <v>11684.041463414633</v>
      </c>
      <c r="F58" s="109">
        <v>11684.041463414633</v>
      </c>
      <c r="G58" s="110" t="s">
        <v>186</v>
      </c>
      <c r="H58" s="109">
        <v>11684.041463414633</v>
      </c>
      <c r="I58" s="110" t="s">
        <v>186</v>
      </c>
      <c r="J58" s="109">
        <v>11684.041463414633</v>
      </c>
      <c r="K58" s="110" t="s">
        <v>186</v>
      </c>
      <c r="L58" s="109">
        <v>11684.041463414633</v>
      </c>
      <c r="M58" s="110" t="s">
        <v>186</v>
      </c>
    </row>
    <row r="59" spans="1:13" ht="45" x14ac:dyDescent="0.25">
      <c r="A59" s="108" t="s">
        <v>26</v>
      </c>
      <c r="B59" s="108" t="s">
        <v>51</v>
      </c>
      <c r="C59" s="108" t="s">
        <v>57</v>
      </c>
      <c r="D59" s="108" t="s">
        <v>159</v>
      </c>
      <c r="E59" s="109">
        <v>92753.886822227039</v>
      </c>
      <c r="F59" s="109">
        <v>92753.886822227039</v>
      </c>
      <c r="G59" s="110" t="s">
        <v>186</v>
      </c>
      <c r="H59" s="109">
        <v>92753.886822227039</v>
      </c>
      <c r="I59" s="110" t="s">
        <v>186</v>
      </c>
      <c r="J59" s="109">
        <v>92753.886822227039</v>
      </c>
      <c r="K59" s="110" t="s">
        <v>186</v>
      </c>
      <c r="L59" s="109">
        <v>92753.886822227039</v>
      </c>
      <c r="M59" s="110" t="s">
        <v>186</v>
      </c>
    </row>
    <row r="60" spans="1:13" ht="45" x14ac:dyDescent="0.25">
      <c r="A60" s="108" t="s">
        <v>26</v>
      </c>
      <c r="B60" s="108" t="s">
        <v>51</v>
      </c>
      <c r="C60" s="108" t="s">
        <v>57</v>
      </c>
      <c r="D60" s="108" t="s">
        <v>160</v>
      </c>
      <c r="E60" s="109">
        <v>2576.4968561729734</v>
      </c>
      <c r="F60" s="109">
        <v>2576.4968561729734</v>
      </c>
      <c r="G60" s="110" t="s">
        <v>186</v>
      </c>
      <c r="H60" s="109">
        <v>2576.4968561729734</v>
      </c>
      <c r="I60" s="110" t="s">
        <v>186</v>
      </c>
      <c r="J60" s="109">
        <v>2576.4968561729734</v>
      </c>
      <c r="K60" s="110" t="s">
        <v>186</v>
      </c>
      <c r="L60" s="109">
        <v>2576.4968561729734</v>
      </c>
      <c r="M60" s="110" t="s">
        <v>186</v>
      </c>
    </row>
    <row r="61" spans="1:13" ht="45" x14ac:dyDescent="0.25">
      <c r="A61" s="108" t="s">
        <v>26</v>
      </c>
      <c r="B61" s="108" t="s">
        <v>51</v>
      </c>
      <c r="C61" s="108" t="s">
        <v>55</v>
      </c>
      <c r="D61" s="108" t="s">
        <v>159</v>
      </c>
      <c r="E61" s="109">
        <v>33687.787500000006</v>
      </c>
      <c r="F61" s="109">
        <v>33687.787500000006</v>
      </c>
      <c r="G61" s="110" t="s">
        <v>186</v>
      </c>
      <c r="H61" s="109">
        <v>33687.787500000006</v>
      </c>
      <c r="I61" s="110" t="s">
        <v>186</v>
      </c>
      <c r="J61" s="109">
        <v>33687.787500000006</v>
      </c>
      <c r="K61" s="110" t="s">
        <v>186</v>
      </c>
      <c r="L61" s="109">
        <v>33687.787500000006</v>
      </c>
      <c r="M61" s="110" t="s">
        <v>186</v>
      </c>
    </row>
    <row r="62" spans="1:13" ht="45" x14ac:dyDescent="0.25">
      <c r="A62" s="108" t="s">
        <v>26</v>
      </c>
      <c r="B62" s="108" t="s">
        <v>51</v>
      </c>
      <c r="C62" s="108" t="s">
        <v>55</v>
      </c>
      <c r="D62" s="108" t="s">
        <v>160</v>
      </c>
      <c r="E62" s="109">
        <v>1464.6864130434785</v>
      </c>
      <c r="F62" s="109">
        <v>1464.6864130434785</v>
      </c>
      <c r="G62" s="110" t="s">
        <v>186</v>
      </c>
      <c r="H62" s="109">
        <v>1464.6864130434785</v>
      </c>
      <c r="I62" s="110" t="s">
        <v>186</v>
      </c>
      <c r="J62" s="109">
        <v>1464.6864130434785</v>
      </c>
      <c r="K62" s="110" t="s">
        <v>186</v>
      </c>
      <c r="L62" s="109">
        <v>1464.6864130434785</v>
      </c>
      <c r="M62" s="110" t="s">
        <v>186</v>
      </c>
    </row>
    <row r="63" spans="1:13" ht="45" x14ac:dyDescent="0.25">
      <c r="A63" s="108" t="s">
        <v>26</v>
      </c>
      <c r="B63" s="108" t="s">
        <v>51</v>
      </c>
      <c r="C63" s="108" t="s">
        <v>55</v>
      </c>
      <c r="D63" s="108" t="s">
        <v>162</v>
      </c>
      <c r="E63" s="109">
        <v>99598.676086956533</v>
      </c>
      <c r="F63" s="109">
        <v>99598.676086956533</v>
      </c>
      <c r="G63" s="110" t="s">
        <v>186</v>
      </c>
      <c r="H63" s="109">
        <v>99598.676086956533</v>
      </c>
      <c r="I63" s="110" t="s">
        <v>186</v>
      </c>
      <c r="J63" s="109">
        <v>99598.676086956533</v>
      </c>
      <c r="K63" s="110" t="s">
        <v>186</v>
      </c>
      <c r="L63" s="109">
        <v>99598.676086956533</v>
      </c>
      <c r="M63" s="110" t="s">
        <v>186</v>
      </c>
    </row>
    <row r="64" spans="1:13" ht="45" x14ac:dyDescent="0.25">
      <c r="A64" s="108" t="s">
        <v>26</v>
      </c>
      <c r="B64" s="108" t="s">
        <v>51</v>
      </c>
      <c r="C64" s="108" t="s">
        <v>52</v>
      </c>
      <c r="D64" s="108" t="s">
        <v>159</v>
      </c>
      <c r="E64" s="109">
        <v>67096.790270270314</v>
      </c>
      <c r="F64" s="109">
        <v>67096.790270270314</v>
      </c>
      <c r="G64" s="110" t="s">
        <v>186</v>
      </c>
      <c r="H64" s="109">
        <v>67096.790270270314</v>
      </c>
      <c r="I64" s="110" t="s">
        <v>186</v>
      </c>
      <c r="J64" s="109">
        <v>67096.790270270314</v>
      </c>
      <c r="K64" s="110" t="s">
        <v>186</v>
      </c>
      <c r="L64" s="109">
        <v>67096.790270270314</v>
      </c>
      <c r="M64" s="110" t="s">
        <v>186</v>
      </c>
    </row>
    <row r="65" spans="1:13" ht="45" x14ac:dyDescent="0.25">
      <c r="A65" s="108" t="s">
        <v>26</v>
      </c>
      <c r="B65" s="108" t="s">
        <v>51</v>
      </c>
      <c r="C65" s="108" t="s">
        <v>52</v>
      </c>
      <c r="D65" s="108" t="s">
        <v>163</v>
      </c>
      <c r="E65" s="109">
        <v>1863.7997297297309</v>
      </c>
      <c r="F65" s="109">
        <v>1863.7997297297309</v>
      </c>
      <c r="G65" s="110" t="s">
        <v>186</v>
      </c>
      <c r="H65" s="109">
        <v>1863.7997297297309</v>
      </c>
      <c r="I65" s="110" t="s">
        <v>186</v>
      </c>
      <c r="J65" s="109">
        <v>1863.7997297297309</v>
      </c>
      <c r="K65" s="110" t="s">
        <v>186</v>
      </c>
      <c r="L65" s="109">
        <v>1863.7997297297309</v>
      </c>
      <c r="M65" s="110" t="s">
        <v>186</v>
      </c>
    </row>
    <row r="66" spans="1:13" ht="30" x14ac:dyDescent="0.25">
      <c r="A66" s="110" t="s">
        <v>114</v>
      </c>
      <c r="B66" s="110" t="s">
        <v>114</v>
      </c>
      <c r="C66" s="110" t="s">
        <v>114</v>
      </c>
      <c r="D66" s="110" t="s">
        <v>114</v>
      </c>
      <c r="E66" s="110" t="s">
        <v>219</v>
      </c>
      <c r="F66" s="110" t="s">
        <v>228</v>
      </c>
      <c r="G66" s="110" t="s">
        <v>114</v>
      </c>
      <c r="H66" s="110" t="s">
        <v>229</v>
      </c>
      <c r="I66" s="110" t="s">
        <v>114</v>
      </c>
      <c r="J66" s="110" t="s">
        <v>230</v>
      </c>
      <c r="K66" s="110" t="s">
        <v>114</v>
      </c>
      <c r="L66" s="110" t="s">
        <v>225</v>
      </c>
      <c r="M66" s="110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3D098-1A0F-45B7-B2FE-913CDAB59C86}">
  <dimension ref="A1:M66"/>
  <sheetViews>
    <sheetView topLeftCell="A55" workbookViewId="0">
      <selection activeCell="A2" sqref="A2:M65"/>
    </sheetView>
  </sheetViews>
  <sheetFormatPr defaultRowHeight="15" x14ac:dyDescent="0.25"/>
  <sheetData>
    <row r="1" spans="1:13" x14ac:dyDescent="0.25">
      <c r="A1" s="103" t="s">
        <v>218</v>
      </c>
      <c r="B1" s="103" t="s">
        <v>176</v>
      </c>
      <c r="C1" s="103" t="s">
        <v>177</v>
      </c>
      <c r="D1" s="103" t="s">
        <v>178</v>
      </c>
      <c r="E1" s="103" t="s">
        <v>179</v>
      </c>
      <c r="F1" s="103" t="s">
        <v>106</v>
      </c>
      <c r="G1" s="103" t="s">
        <v>180</v>
      </c>
      <c r="H1" s="103" t="s">
        <v>108</v>
      </c>
      <c r="I1" s="103" t="s">
        <v>181</v>
      </c>
      <c r="J1" s="103" t="s">
        <v>182</v>
      </c>
      <c r="K1" s="103" t="s">
        <v>183</v>
      </c>
      <c r="L1" s="103" t="s">
        <v>223</v>
      </c>
      <c r="M1" s="103" t="s">
        <v>224</v>
      </c>
    </row>
    <row r="2" spans="1:13" x14ac:dyDescent="0.25">
      <c r="A2" s="104" t="s">
        <v>26</v>
      </c>
      <c r="B2" s="104" t="s">
        <v>54</v>
      </c>
      <c r="C2" s="104" t="s">
        <v>82</v>
      </c>
      <c r="D2" s="104" t="s">
        <v>83</v>
      </c>
      <c r="E2" s="105">
        <v>61548.353999999999</v>
      </c>
      <c r="F2" s="105">
        <v>0</v>
      </c>
      <c r="G2" s="106">
        <v>0</v>
      </c>
      <c r="H2" s="105">
        <v>0</v>
      </c>
      <c r="I2" s="106">
        <v>0</v>
      </c>
      <c r="J2" s="105">
        <v>0</v>
      </c>
      <c r="K2" s="106">
        <v>0</v>
      </c>
      <c r="L2" s="105">
        <v>0</v>
      </c>
      <c r="M2" s="106" t="s">
        <v>187</v>
      </c>
    </row>
    <row r="3" spans="1:13" x14ac:dyDescent="0.25">
      <c r="A3" s="104" t="s">
        <v>26</v>
      </c>
      <c r="B3" s="104" t="s">
        <v>54</v>
      </c>
      <c r="C3" s="104" t="s">
        <v>84</v>
      </c>
      <c r="D3" s="104" t="s">
        <v>83</v>
      </c>
      <c r="E3" s="105">
        <v>61548.354399999989</v>
      </c>
      <c r="F3" s="105">
        <v>0</v>
      </c>
      <c r="G3" s="106">
        <v>0</v>
      </c>
      <c r="H3" s="105">
        <v>0</v>
      </c>
      <c r="I3" s="106">
        <v>0</v>
      </c>
      <c r="J3" s="105">
        <v>0</v>
      </c>
      <c r="K3" s="106">
        <v>0</v>
      </c>
      <c r="L3" s="105">
        <v>0</v>
      </c>
      <c r="M3" s="106" t="s">
        <v>187</v>
      </c>
    </row>
    <row r="4" spans="1:13" x14ac:dyDescent="0.25">
      <c r="A4" s="104" t="s">
        <v>26</v>
      </c>
      <c r="B4" s="104" t="s">
        <v>54</v>
      </c>
      <c r="C4" s="104" t="s">
        <v>94</v>
      </c>
      <c r="D4" s="104" t="s">
        <v>101</v>
      </c>
      <c r="E4" s="105">
        <v>116529.74</v>
      </c>
      <c r="F4" s="105">
        <v>47834.496850529962</v>
      </c>
      <c r="G4" s="106">
        <v>0.41049174957851925</v>
      </c>
      <c r="H4" s="105">
        <v>33488.134102530828</v>
      </c>
      <c r="I4" s="106">
        <v>0.2873784332010938</v>
      </c>
      <c r="J4" s="105">
        <v>6511.3826086956515</v>
      </c>
      <c r="K4" s="106">
        <v>5.5877431878725993E-2</v>
      </c>
      <c r="L4" s="105">
        <v>0</v>
      </c>
      <c r="M4" s="106" t="s">
        <v>187</v>
      </c>
    </row>
    <row r="5" spans="1:13" ht="30" x14ac:dyDescent="0.25">
      <c r="A5" s="104" t="s">
        <v>26</v>
      </c>
      <c r="B5" s="104" t="s">
        <v>54</v>
      </c>
      <c r="C5" s="104" t="s">
        <v>79</v>
      </c>
      <c r="D5" s="104" t="s">
        <v>59</v>
      </c>
      <c r="E5" s="105">
        <v>66526.931673225015</v>
      </c>
      <c r="F5" s="105">
        <v>66526.931673225015</v>
      </c>
      <c r="G5" s="106">
        <v>1</v>
      </c>
      <c r="H5" s="105">
        <v>66526.931673225015</v>
      </c>
      <c r="I5" s="106">
        <v>1</v>
      </c>
      <c r="J5" s="105">
        <v>66526.931673225015</v>
      </c>
      <c r="K5" s="106">
        <v>1</v>
      </c>
      <c r="L5" s="105">
        <v>66526.931673225015</v>
      </c>
      <c r="M5" s="106" t="s">
        <v>186</v>
      </c>
    </row>
    <row r="6" spans="1:13" ht="30" x14ac:dyDescent="0.25">
      <c r="A6" s="104" t="s">
        <v>26</v>
      </c>
      <c r="B6" s="104" t="s">
        <v>54</v>
      </c>
      <c r="C6" s="104" t="s">
        <v>80</v>
      </c>
      <c r="D6" s="104" t="s">
        <v>59</v>
      </c>
      <c r="E6" s="105">
        <v>27322.570000000014</v>
      </c>
      <c r="F6" s="105">
        <v>27322.570000000014</v>
      </c>
      <c r="G6" s="106">
        <v>1</v>
      </c>
      <c r="H6" s="105">
        <v>27322.570000000014</v>
      </c>
      <c r="I6" s="106">
        <v>1</v>
      </c>
      <c r="J6" s="105">
        <v>27322.570000000014</v>
      </c>
      <c r="K6" s="106">
        <v>1</v>
      </c>
      <c r="L6" s="105">
        <v>27322.570000000014</v>
      </c>
      <c r="M6" s="106" t="s">
        <v>186</v>
      </c>
    </row>
    <row r="7" spans="1:13" ht="30" x14ac:dyDescent="0.25">
      <c r="A7" s="104" t="s">
        <v>26</v>
      </c>
      <c r="B7" s="104" t="s">
        <v>54</v>
      </c>
      <c r="C7" s="104" t="s">
        <v>89</v>
      </c>
      <c r="D7" s="104" t="s">
        <v>59</v>
      </c>
      <c r="E7" s="105">
        <v>7738.8999999999987</v>
      </c>
      <c r="F7" s="105">
        <v>7738.8999999999987</v>
      </c>
      <c r="G7" s="106">
        <v>1</v>
      </c>
      <c r="H7" s="105">
        <v>7738.8999999999987</v>
      </c>
      <c r="I7" s="106">
        <v>1</v>
      </c>
      <c r="J7" s="105">
        <v>7738.8999999999987</v>
      </c>
      <c r="K7" s="106">
        <v>1</v>
      </c>
      <c r="L7" s="105">
        <v>7738.8999999999987</v>
      </c>
      <c r="M7" s="106" t="s">
        <v>186</v>
      </c>
    </row>
    <row r="8" spans="1:13" ht="30" x14ac:dyDescent="0.25">
      <c r="A8" s="104" t="s">
        <v>26</v>
      </c>
      <c r="B8" s="104" t="s">
        <v>54</v>
      </c>
      <c r="C8" s="104" t="s">
        <v>90</v>
      </c>
      <c r="D8" s="104" t="s">
        <v>59</v>
      </c>
      <c r="E8" s="105">
        <v>12606.7</v>
      </c>
      <c r="F8" s="105">
        <v>12606.7</v>
      </c>
      <c r="G8" s="106">
        <v>1</v>
      </c>
      <c r="H8" s="105">
        <v>12606.7</v>
      </c>
      <c r="I8" s="106">
        <v>1</v>
      </c>
      <c r="J8" s="105">
        <v>12606.7</v>
      </c>
      <c r="K8" s="106">
        <v>1</v>
      </c>
      <c r="L8" s="105">
        <v>12606.7</v>
      </c>
      <c r="M8" s="106" t="s">
        <v>186</v>
      </c>
    </row>
    <row r="9" spans="1:13" ht="30" x14ac:dyDescent="0.25">
      <c r="A9" s="104" t="s">
        <v>26</v>
      </c>
      <c r="B9" s="104" t="s">
        <v>54</v>
      </c>
      <c r="C9" s="104" t="s">
        <v>87</v>
      </c>
      <c r="D9" s="104" t="s">
        <v>59</v>
      </c>
      <c r="E9" s="105">
        <v>11821.399999999996</v>
      </c>
      <c r="F9" s="105">
        <v>11821.399999999996</v>
      </c>
      <c r="G9" s="106">
        <v>1</v>
      </c>
      <c r="H9" s="105">
        <v>11821.399999999996</v>
      </c>
      <c r="I9" s="106">
        <v>1</v>
      </c>
      <c r="J9" s="105">
        <v>11821.399999999996</v>
      </c>
      <c r="K9" s="106">
        <v>1</v>
      </c>
      <c r="L9" s="105">
        <v>11821.399999999996</v>
      </c>
      <c r="M9" s="106" t="s">
        <v>186</v>
      </c>
    </row>
    <row r="10" spans="1:13" ht="30" x14ac:dyDescent="0.25">
      <c r="A10" s="104" t="s">
        <v>26</v>
      </c>
      <c r="B10" s="104" t="s">
        <v>54</v>
      </c>
      <c r="C10" s="104" t="s">
        <v>93</v>
      </c>
      <c r="D10" s="104" t="s">
        <v>59</v>
      </c>
      <c r="E10" s="105">
        <v>13649.199999999999</v>
      </c>
      <c r="F10" s="105">
        <v>13649.199999999999</v>
      </c>
      <c r="G10" s="106">
        <v>1</v>
      </c>
      <c r="H10" s="105">
        <v>13649.199999999999</v>
      </c>
      <c r="I10" s="106">
        <v>1</v>
      </c>
      <c r="J10" s="105">
        <v>13649.199999999999</v>
      </c>
      <c r="K10" s="106">
        <v>1</v>
      </c>
      <c r="L10" s="105">
        <v>13649.199999999999</v>
      </c>
      <c r="M10" s="106" t="s">
        <v>186</v>
      </c>
    </row>
    <row r="11" spans="1:13" ht="30" x14ac:dyDescent="0.25">
      <c r="A11" s="104" t="s">
        <v>26</v>
      </c>
      <c r="B11" s="104" t="s">
        <v>54</v>
      </c>
      <c r="C11" s="104" t="s">
        <v>58</v>
      </c>
      <c r="D11" s="104" t="s">
        <v>59</v>
      </c>
      <c r="E11" s="105">
        <v>18015.695291250006</v>
      </c>
      <c r="F11" s="105">
        <v>18015.695291250006</v>
      </c>
      <c r="G11" s="106">
        <v>1</v>
      </c>
      <c r="H11" s="105">
        <v>18015.695291250006</v>
      </c>
      <c r="I11" s="106">
        <v>1</v>
      </c>
      <c r="J11" s="105">
        <v>18015.695291250006</v>
      </c>
      <c r="K11" s="106">
        <v>1</v>
      </c>
      <c r="L11" s="105">
        <v>18015.695291250006</v>
      </c>
      <c r="M11" s="106" t="s">
        <v>186</v>
      </c>
    </row>
    <row r="12" spans="1:13" ht="30" x14ac:dyDescent="0.25">
      <c r="A12" s="104" t="s">
        <v>26</v>
      </c>
      <c r="B12" s="104" t="s">
        <v>54</v>
      </c>
      <c r="C12" s="104" t="s">
        <v>77</v>
      </c>
      <c r="D12" s="104" t="s">
        <v>59</v>
      </c>
      <c r="E12" s="105">
        <v>14499.954724850006</v>
      </c>
      <c r="F12" s="105">
        <v>14499.954724850006</v>
      </c>
      <c r="G12" s="106">
        <v>1</v>
      </c>
      <c r="H12" s="105">
        <v>14499.954724850006</v>
      </c>
      <c r="I12" s="106">
        <v>1</v>
      </c>
      <c r="J12" s="105">
        <v>14499.954724850006</v>
      </c>
      <c r="K12" s="106">
        <v>1</v>
      </c>
      <c r="L12" s="105">
        <v>14499.954724850006</v>
      </c>
      <c r="M12" s="106" t="s">
        <v>186</v>
      </c>
    </row>
    <row r="13" spans="1:13" ht="45" x14ac:dyDescent="0.25">
      <c r="A13" s="104" t="s">
        <v>26</v>
      </c>
      <c r="B13" s="104" t="s">
        <v>54</v>
      </c>
      <c r="C13" s="104" t="s">
        <v>62</v>
      </c>
      <c r="D13" s="104" t="s">
        <v>164</v>
      </c>
      <c r="E13" s="105">
        <v>83412.565384615358</v>
      </c>
      <c r="F13" s="105">
        <v>75468.51153846152</v>
      </c>
      <c r="G13" s="106">
        <v>0.90476190476190488</v>
      </c>
      <c r="H13" s="105">
        <v>43692.296153846139</v>
      </c>
      <c r="I13" s="106">
        <v>0.52380952380952384</v>
      </c>
      <c r="J13" s="105">
        <v>35748.242307692293</v>
      </c>
      <c r="K13" s="106">
        <v>0.42857142857142855</v>
      </c>
      <c r="L13" s="105">
        <v>0</v>
      </c>
      <c r="M13" s="106" t="s">
        <v>187</v>
      </c>
    </row>
    <row r="14" spans="1:13" ht="45" x14ac:dyDescent="0.25">
      <c r="A14" s="104" t="s">
        <v>26</v>
      </c>
      <c r="B14" s="104" t="s">
        <v>54</v>
      </c>
      <c r="C14" s="104" t="s">
        <v>62</v>
      </c>
      <c r="D14" s="104" t="s">
        <v>165</v>
      </c>
      <c r="E14" s="105">
        <v>19860.13461538461</v>
      </c>
      <c r="F14" s="105">
        <v>7944.0538461538445</v>
      </c>
      <c r="G14" s="106">
        <v>0.4</v>
      </c>
      <c r="H14" s="105">
        <v>0</v>
      </c>
      <c r="I14" s="106">
        <v>0</v>
      </c>
      <c r="J14" s="105">
        <v>0</v>
      </c>
      <c r="K14" s="106">
        <v>0</v>
      </c>
      <c r="L14" s="105">
        <v>0</v>
      </c>
      <c r="M14" s="106" t="s">
        <v>187</v>
      </c>
    </row>
    <row r="15" spans="1:13" ht="45" x14ac:dyDescent="0.25">
      <c r="A15" s="104" t="s">
        <v>26</v>
      </c>
      <c r="B15" s="104" t="s">
        <v>54</v>
      </c>
      <c r="C15" s="104" t="s">
        <v>64</v>
      </c>
      <c r="D15" s="104" t="s">
        <v>164</v>
      </c>
      <c r="E15" s="105">
        <v>53557.390769230769</v>
      </c>
      <c r="F15" s="105">
        <v>53557.390769230769</v>
      </c>
      <c r="G15" s="106">
        <v>1</v>
      </c>
      <c r="H15" s="105">
        <v>53557.390769230769</v>
      </c>
      <c r="I15" s="106">
        <v>1</v>
      </c>
      <c r="J15" s="105">
        <v>53557.390769230769</v>
      </c>
      <c r="K15" s="106">
        <v>1</v>
      </c>
      <c r="L15" s="105">
        <v>53557.390769230769</v>
      </c>
      <c r="M15" s="106" t="s">
        <v>186</v>
      </c>
    </row>
    <row r="16" spans="1:13" ht="45" x14ac:dyDescent="0.25">
      <c r="A16" s="104" t="s">
        <v>26</v>
      </c>
      <c r="B16" s="104" t="s">
        <v>54</v>
      </c>
      <c r="C16" s="104" t="s">
        <v>64</v>
      </c>
      <c r="D16" s="104" t="s">
        <v>165</v>
      </c>
      <c r="E16" s="105">
        <v>33473.369230769233</v>
      </c>
      <c r="F16" s="105">
        <v>33473.369230769233</v>
      </c>
      <c r="G16" s="106">
        <v>1</v>
      </c>
      <c r="H16" s="105">
        <v>33473.369230769233</v>
      </c>
      <c r="I16" s="106">
        <v>1</v>
      </c>
      <c r="J16" s="105">
        <v>33473.369230769233</v>
      </c>
      <c r="K16" s="106">
        <v>1</v>
      </c>
      <c r="L16" s="105">
        <v>33473.369230769233</v>
      </c>
      <c r="M16" s="106" t="s">
        <v>186</v>
      </c>
    </row>
    <row r="17" spans="1:13" ht="45" x14ac:dyDescent="0.25">
      <c r="A17" s="104" t="s">
        <v>26</v>
      </c>
      <c r="B17" s="104" t="s">
        <v>54</v>
      </c>
      <c r="C17" s="104" t="s">
        <v>71</v>
      </c>
      <c r="D17" s="104" t="s">
        <v>164</v>
      </c>
      <c r="E17" s="105">
        <v>82046.400000000009</v>
      </c>
      <c r="F17" s="105">
        <v>82046.400000000009</v>
      </c>
      <c r="G17" s="106">
        <v>1</v>
      </c>
      <c r="H17" s="105">
        <v>82046.400000000009</v>
      </c>
      <c r="I17" s="106">
        <v>1</v>
      </c>
      <c r="J17" s="105">
        <v>82046.400000000009</v>
      </c>
      <c r="K17" s="106">
        <v>1</v>
      </c>
      <c r="L17" s="105">
        <v>82046.400000000009</v>
      </c>
      <c r="M17" s="106" t="s">
        <v>186</v>
      </c>
    </row>
    <row r="18" spans="1:13" ht="45" x14ac:dyDescent="0.25">
      <c r="A18" s="104" t="s">
        <v>26</v>
      </c>
      <c r="B18" s="104" t="s">
        <v>54</v>
      </c>
      <c r="C18" s="104" t="s">
        <v>75</v>
      </c>
      <c r="D18" s="104" t="s">
        <v>164</v>
      </c>
      <c r="E18" s="105">
        <v>80497.16</v>
      </c>
      <c r="F18" s="105">
        <v>80497.16</v>
      </c>
      <c r="G18" s="106">
        <v>1</v>
      </c>
      <c r="H18" s="105">
        <v>80497.16</v>
      </c>
      <c r="I18" s="106">
        <v>1</v>
      </c>
      <c r="J18" s="105">
        <v>80497.16</v>
      </c>
      <c r="K18" s="106">
        <v>1</v>
      </c>
      <c r="L18" s="105">
        <v>80497.16</v>
      </c>
      <c r="M18" s="106" t="s">
        <v>186</v>
      </c>
    </row>
    <row r="19" spans="1:13" ht="45" x14ac:dyDescent="0.25">
      <c r="A19" s="104" t="s">
        <v>26</v>
      </c>
      <c r="B19" s="104" t="s">
        <v>54</v>
      </c>
      <c r="C19" s="104" t="s">
        <v>81</v>
      </c>
      <c r="D19" s="104" t="s">
        <v>165</v>
      </c>
      <c r="E19" s="105">
        <v>89010.219999999987</v>
      </c>
      <c r="F19" s="105">
        <v>89010.219999999987</v>
      </c>
      <c r="G19" s="106">
        <v>1</v>
      </c>
      <c r="H19" s="105">
        <v>89010.219999999987</v>
      </c>
      <c r="I19" s="106">
        <v>1</v>
      </c>
      <c r="J19" s="105">
        <v>89010.219999999987</v>
      </c>
      <c r="K19" s="106">
        <v>1</v>
      </c>
      <c r="L19" s="105">
        <v>89010.219999999987</v>
      </c>
      <c r="M19" s="106" t="s">
        <v>186</v>
      </c>
    </row>
    <row r="20" spans="1:13" ht="45" x14ac:dyDescent="0.25">
      <c r="A20" s="104" t="s">
        <v>26</v>
      </c>
      <c r="B20" s="104" t="s">
        <v>54</v>
      </c>
      <c r="C20" s="104" t="s">
        <v>85</v>
      </c>
      <c r="D20" s="104" t="s">
        <v>165</v>
      </c>
      <c r="E20" s="105">
        <v>88239.10000000002</v>
      </c>
      <c r="F20" s="105">
        <v>88239.10000000002</v>
      </c>
      <c r="G20" s="106">
        <v>1</v>
      </c>
      <c r="H20" s="105">
        <v>88239.10000000002</v>
      </c>
      <c r="I20" s="106">
        <v>1</v>
      </c>
      <c r="J20" s="105">
        <v>88239.10000000002</v>
      </c>
      <c r="K20" s="106">
        <v>1</v>
      </c>
      <c r="L20" s="105">
        <v>88239.10000000002</v>
      </c>
      <c r="M20" s="106" t="s">
        <v>186</v>
      </c>
    </row>
    <row r="21" spans="1:13" ht="45" x14ac:dyDescent="0.25">
      <c r="A21" s="104" t="s">
        <v>26</v>
      </c>
      <c r="B21" s="104" t="s">
        <v>54</v>
      </c>
      <c r="C21" s="104" t="s">
        <v>86</v>
      </c>
      <c r="D21" s="104" t="s">
        <v>164</v>
      </c>
      <c r="E21" s="105">
        <v>20377.497966666666</v>
      </c>
      <c r="F21" s="105">
        <v>3396.249661111111</v>
      </c>
      <c r="G21" s="106">
        <v>0.16666666666666666</v>
      </c>
      <c r="H21" s="105">
        <v>0</v>
      </c>
      <c r="I21" s="106">
        <v>0</v>
      </c>
      <c r="J21" s="105">
        <v>0</v>
      </c>
      <c r="K21" s="106">
        <v>0</v>
      </c>
      <c r="L21" s="105">
        <v>0</v>
      </c>
      <c r="M21" s="106" t="s">
        <v>187</v>
      </c>
    </row>
    <row r="22" spans="1:13" ht="45" x14ac:dyDescent="0.25">
      <c r="A22" s="104" t="s">
        <v>26</v>
      </c>
      <c r="B22" s="104" t="s">
        <v>54</v>
      </c>
      <c r="C22" s="104" t="s">
        <v>86</v>
      </c>
      <c r="D22" s="104" t="s">
        <v>165</v>
      </c>
      <c r="E22" s="105">
        <v>40754.995933333332</v>
      </c>
      <c r="F22" s="105">
        <v>3396.249661111111</v>
      </c>
      <c r="G22" s="106">
        <v>8.3333333333333329E-2</v>
      </c>
      <c r="H22" s="105">
        <v>3396.249661111111</v>
      </c>
      <c r="I22" s="106">
        <v>8.3333333333333329E-2</v>
      </c>
      <c r="J22" s="105">
        <v>0</v>
      </c>
      <c r="K22" s="106">
        <v>0</v>
      </c>
      <c r="L22" s="105">
        <v>0</v>
      </c>
      <c r="M22" s="106" t="s">
        <v>187</v>
      </c>
    </row>
    <row r="23" spans="1:13" ht="45" x14ac:dyDescent="0.25">
      <c r="A23" s="104" t="s">
        <v>26</v>
      </c>
      <c r="B23" s="104" t="s">
        <v>54</v>
      </c>
      <c r="C23" s="104" t="s">
        <v>88</v>
      </c>
      <c r="D23" s="104" t="s">
        <v>164</v>
      </c>
      <c r="E23" s="105">
        <v>37721.30214</v>
      </c>
      <c r="F23" s="105">
        <v>13621.581328333334</v>
      </c>
      <c r="G23" s="106">
        <v>0.3611111111111111</v>
      </c>
      <c r="H23" s="105">
        <v>12573.767379999999</v>
      </c>
      <c r="I23" s="106">
        <v>0.33333333333333331</v>
      </c>
      <c r="J23" s="105">
        <v>9430.3255349999999</v>
      </c>
      <c r="K23" s="106">
        <v>0.25</v>
      </c>
      <c r="L23" s="105">
        <v>0</v>
      </c>
      <c r="M23" s="106" t="s">
        <v>187</v>
      </c>
    </row>
    <row r="24" spans="1:13" ht="45" x14ac:dyDescent="0.25">
      <c r="A24" s="104" t="s">
        <v>26</v>
      </c>
      <c r="B24" s="104" t="s">
        <v>54</v>
      </c>
      <c r="C24" s="104" t="s">
        <v>88</v>
      </c>
      <c r="D24" s="104" t="s">
        <v>165</v>
      </c>
      <c r="E24" s="105">
        <v>25147.534760000002</v>
      </c>
      <c r="F24" s="105">
        <v>0</v>
      </c>
      <c r="G24" s="106">
        <v>0</v>
      </c>
      <c r="H24" s="105">
        <v>0</v>
      </c>
      <c r="I24" s="106">
        <v>0</v>
      </c>
      <c r="J24" s="105">
        <v>0</v>
      </c>
      <c r="K24" s="106">
        <v>0</v>
      </c>
      <c r="L24" s="105">
        <v>0</v>
      </c>
      <c r="M24" s="106" t="s">
        <v>187</v>
      </c>
    </row>
    <row r="25" spans="1:13" ht="45" x14ac:dyDescent="0.25">
      <c r="A25" s="104" t="s">
        <v>26</v>
      </c>
      <c r="B25" s="104" t="s">
        <v>54</v>
      </c>
      <c r="C25" s="104" t="s">
        <v>91</v>
      </c>
      <c r="D25" s="104" t="s">
        <v>164</v>
      </c>
      <c r="E25" s="105">
        <v>51218.906666666669</v>
      </c>
      <c r="F25" s="105">
        <v>0</v>
      </c>
      <c r="G25" s="106">
        <v>0</v>
      </c>
      <c r="H25" s="105">
        <v>0</v>
      </c>
      <c r="I25" s="106">
        <v>0</v>
      </c>
      <c r="J25" s="105">
        <v>0</v>
      </c>
      <c r="K25" s="106">
        <v>0</v>
      </c>
      <c r="L25" s="105">
        <v>0</v>
      </c>
      <c r="M25" s="106" t="s">
        <v>187</v>
      </c>
    </row>
    <row r="26" spans="1:13" ht="45" x14ac:dyDescent="0.25">
      <c r="A26" s="104" t="s">
        <v>26</v>
      </c>
      <c r="B26" s="104" t="s">
        <v>54</v>
      </c>
      <c r="C26" s="104" t="s">
        <v>91</v>
      </c>
      <c r="D26" s="104" t="s">
        <v>165</v>
      </c>
      <c r="E26" s="105">
        <v>25609.453333333335</v>
      </c>
      <c r="F26" s="105">
        <v>0</v>
      </c>
      <c r="G26" s="106">
        <v>0</v>
      </c>
      <c r="H26" s="105">
        <v>0</v>
      </c>
      <c r="I26" s="106">
        <v>0</v>
      </c>
      <c r="J26" s="105">
        <v>0</v>
      </c>
      <c r="K26" s="106">
        <v>0</v>
      </c>
      <c r="L26" s="105">
        <v>0</v>
      </c>
      <c r="M26" s="106" t="s">
        <v>187</v>
      </c>
    </row>
    <row r="27" spans="1:13" x14ac:dyDescent="0.25">
      <c r="A27" s="104" t="s">
        <v>26</v>
      </c>
      <c r="B27" s="104" t="s">
        <v>27</v>
      </c>
      <c r="C27" s="104" t="s">
        <v>28</v>
      </c>
      <c r="D27" s="104" t="s">
        <v>30</v>
      </c>
      <c r="E27" s="105">
        <v>96552.957720588165</v>
      </c>
      <c r="F27" s="105">
        <v>96552.957720588165</v>
      </c>
      <c r="G27" s="106">
        <v>1</v>
      </c>
      <c r="H27" s="105">
        <v>96552.957720588165</v>
      </c>
      <c r="I27" s="106">
        <v>1</v>
      </c>
      <c r="J27" s="105">
        <v>96552.957720588165</v>
      </c>
      <c r="K27" s="106">
        <v>1</v>
      </c>
      <c r="L27" s="105">
        <v>96552.957720588165</v>
      </c>
      <c r="M27" s="106" t="s">
        <v>186</v>
      </c>
    </row>
    <row r="28" spans="1:13" ht="45" x14ac:dyDescent="0.25">
      <c r="A28" s="104" t="s">
        <v>26</v>
      </c>
      <c r="B28" s="104" t="s">
        <v>27</v>
      </c>
      <c r="C28" s="104" t="s">
        <v>96</v>
      </c>
      <c r="D28" s="104" t="s">
        <v>32</v>
      </c>
      <c r="E28" s="105">
        <v>7161.8114376280319</v>
      </c>
      <c r="F28" s="105">
        <v>7161.8114376280319</v>
      </c>
      <c r="G28" s="106">
        <v>1</v>
      </c>
      <c r="H28" s="105">
        <v>7161.8114376280319</v>
      </c>
      <c r="I28" s="106">
        <v>1</v>
      </c>
      <c r="J28" s="105">
        <v>7161.8114376280319</v>
      </c>
      <c r="K28" s="106">
        <v>1</v>
      </c>
      <c r="L28" s="105">
        <v>7161.8114376280319</v>
      </c>
      <c r="M28" s="106" t="s">
        <v>186</v>
      </c>
    </row>
    <row r="29" spans="1:13" x14ac:dyDescent="0.25">
      <c r="A29" s="104" t="s">
        <v>26</v>
      </c>
      <c r="B29" s="104" t="s">
        <v>27</v>
      </c>
      <c r="C29" s="104" t="s">
        <v>31</v>
      </c>
      <c r="D29" s="104" t="s">
        <v>33</v>
      </c>
      <c r="E29" s="105">
        <v>108361.32088237196</v>
      </c>
      <c r="F29" s="105">
        <v>108361.32088237196</v>
      </c>
      <c r="G29" s="106">
        <v>1</v>
      </c>
      <c r="H29" s="105">
        <v>108361.32088237196</v>
      </c>
      <c r="I29" s="106">
        <v>1</v>
      </c>
      <c r="J29" s="105">
        <v>108361.32088237196</v>
      </c>
      <c r="K29" s="106">
        <v>1</v>
      </c>
      <c r="L29" s="105">
        <v>108361.32088237196</v>
      </c>
      <c r="M29" s="106" t="s">
        <v>186</v>
      </c>
    </row>
    <row r="30" spans="1:13" ht="45" x14ac:dyDescent="0.25">
      <c r="A30" s="104" t="s">
        <v>26</v>
      </c>
      <c r="B30" s="104" t="s">
        <v>27</v>
      </c>
      <c r="C30" s="104" t="s">
        <v>97</v>
      </c>
      <c r="D30" s="104" t="s">
        <v>35</v>
      </c>
      <c r="E30" s="105">
        <v>28819.23</v>
      </c>
      <c r="F30" s="105">
        <v>28819.23</v>
      </c>
      <c r="G30" s="106">
        <v>1</v>
      </c>
      <c r="H30" s="105">
        <v>28819.23</v>
      </c>
      <c r="I30" s="106">
        <v>1</v>
      </c>
      <c r="J30" s="105">
        <v>28819.23</v>
      </c>
      <c r="K30" s="106">
        <v>1</v>
      </c>
      <c r="L30" s="105">
        <v>28819.23</v>
      </c>
      <c r="M30" s="106" t="s">
        <v>186</v>
      </c>
    </row>
    <row r="31" spans="1:13" x14ac:dyDescent="0.25">
      <c r="A31" s="104" t="s">
        <v>26</v>
      </c>
      <c r="B31" s="104" t="s">
        <v>27</v>
      </c>
      <c r="C31" s="104" t="s">
        <v>34</v>
      </c>
      <c r="D31" s="104" t="s">
        <v>36</v>
      </c>
      <c r="E31" s="105">
        <v>41918.879999999997</v>
      </c>
      <c r="F31" s="105">
        <v>41918.879999999997</v>
      </c>
      <c r="G31" s="106">
        <v>1</v>
      </c>
      <c r="H31" s="105">
        <v>41918.879999999997</v>
      </c>
      <c r="I31" s="106">
        <v>1</v>
      </c>
      <c r="J31" s="105">
        <v>41918.879999999997</v>
      </c>
      <c r="K31" s="106">
        <v>1</v>
      </c>
      <c r="L31" s="105">
        <v>41918.879999999997</v>
      </c>
      <c r="M31" s="106" t="s">
        <v>186</v>
      </c>
    </row>
    <row r="32" spans="1:13" ht="45" x14ac:dyDescent="0.25">
      <c r="A32" s="104" t="s">
        <v>26</v>
      </c>
      <c r="B32" s="104" t="s">
        <v>27</v>
      </c>
      <c r="C32" s="104" t="s">
        <v>154</v>
      </c>
      <c r="D32" s="104" t="s">
        <v>155</v>
      </c>
      <c r="E32" s="105">
        <v>69664.792279411718</v>
      </c>
      <c r="F32" s="105">
        <v>69664.792279411718</v>
      </c>
      <c r="G32" s="106">
        <v>1</v>
      </c>
      <c r="H32" s="105">
        <v>69664.792279411718</v>
      </c>
      <c r="I32" s="106">
        <v>1</v>
      </c>
      <c r="J32" s="105">
        <v>69664.792279411718</v>
      </c>
      <c r="K32" s="106">
        <v>1</v>
      </c>
      <c r="L32" s="105">
        <v>69664.792279411718</v>
      </c>
      <c r="M32" s="106" t="s">
        <v>186</v>
      </c>
    </row>
    <row r="33" spans="1:13" x14ac:dyDescent="0.25">
      <c r="A33" s="104" t="s">
        <v>26</v>
      </c>
      <c r="B33" s="104" t="s">
        <v>37</v>
      </c>
      <c r="C33" s="104" t="s">
        <v>38</v>
      </c>
      <c r="D33" s="104" t="s">
        <v>30</v>
      </c>
      <c r="E33" s="105">
        <v>202798.24999999991</v>
      </c>
      <c r="F33" s="105">
        <v>202798.24999999991</v>
      </c>
      <c r="G33" s="106">
        <v>1</v>
      </c>
      <c r="H33" s="105">
        <v>202798.24999999991</v>
      </c>
      <c r="I33" s="106">
        <v>1</v>
      </c>
      <c r="J33" s="105">
        <v>202798.24999999991</v>
      </c>
      <c r="K33" s="106">
        <v>1</v>
      </c>
      <c r="L33" s="105">
        <v>202798.24999999991</v>
      </c>
      <c r="M33" s="106" t="s">
        <v>186</v>
      </c>
    </row>
    <row r="34" spans="1:13" ht="45" x14ac:dyDescent="0.25">
      <c r="A34" s="104" t="s">
        <v>26</v>
      </c>
      <c r="B34" s="104" t="s">
        <v>37</v>
      </c>
      <c r="C34" s="104" t="s">
        <v>98</v>
      </c>
      <c r="D34" s="104" t="s">
        <v>40</v>
      </c>
      <c r="E34" s="105">
        <v>14225.697777777767</v>
      </c>
      <c r="F34" s="105">
        <v>14225.697777777767</v>
      </c>
      <c r="G34" s="106">
        <v>1</v>
      </c>
      <c r="H34" s="105">
        <v>14225.697777777767</v>
      </c>
      <c r="I34" s="106">
        <v>1</v>
      </c>
      <c r="J34" s="105">
        <v>14225.697777777767</v>
      </c>
      <c r="K34" s="106">
        <v>1</v>
      </c>
      <c r="L34" s="105">
        <v>14225.697777777767</v>
      </c>
      <c r="M34" s="106" t="s">
        <v>186</v>
      </c>
    </row>
    <row r="35" spans="1:13" x14ac:dyDescent="0.25">
      <c r="A35" s="104" t="s">
        <v>26</v>
      </c>
      <c r="B35" s="104" t="s">
        <v>37</v>
      </c>
      <c r="C35" s="104" t="s">
        <v>39</v>
      </c>
      <c r="D35" s="104" t="s">
        <v>41</v>
      </c>
      <c r="E35" s="105">
        <v>33786.032222222195</v>
      </c>
      <c r="F35" s="105">
        <v>33786.032222222195</v>
      </c>
      <c r="G35" s="106">
        <v>1</v>
      </c>
      <c r="H35" s="105">
        <v>33786.032222222195</v>
      </c>
      <c r="I35" s="106">
        <v>1</v>
      </c>
      <c r="J35" s="105">
        <v>33786.032222222195</v>
      </c>
      <c r="K35" s="106">
        <v>1</v>
      </c>
      <c r="L35" s="105">
        <v>33786.032222222195</v>
      </c>
      <c r="M35" s="106" t="s">
        <v>186</v>
      </c>
    </row>
    <row r="36" spans="1:13" x14ac:dyDescent="0.25">
      <c r="A36" s="104" t="s">
        <v>26</v>
      </c>
      <c r="B36" s="104" t="s">
        <v>48</v>
      </c>
      <c r="C36" s="104" t="s">
        <v>50</v>
      </c>
      <c r="D36" s="104" t="s">
        <v>30</v>
      </c>
      <c r="E36" s="105">
        <v>197930.57800000015</v>
      </c>
      <c r="F36" s="105">
        <v>197930.57800000015</v>
      </c>
      <c r="G36" s="106">
        <v>1</v>
      </c>
      <c r="H36" s="105">
        <v>197930.57800000015</v>
      </c>
      <c r="I36" s="106">
        <v>1</v>
      </c>
      <c r="J36" s="105">
        <v>197930.57800000015</v>
      </c>
      <c r="K36" s="106">
        <v>1</v>
      </c>
      <c r="L36" s="105">
        <v>197930.57800000015</v>
      </c>
      <c r="M36" s="106" t="s">
        <v>186</v>
      </c>
    </row>
    <row r="37" spans="1:13" ht="45" x14ac:dyDescent="0.25">
      <c r="A37" s="104" t="s">
        <v>26</v>
      </c>
      <c r="B37" s="104" t="s">
        <v>48</v>
      </c>
      <c r="C37" s="104" t="s">
        <v>99</v>
      </c>
      <c r="D37" s="104" t="s">
        <v>40</v>
      </c>
      <c r="E37" s="105">
        <v>48039.180472087894</v>
      </c>
      <c r="F37" s="105">
        <v>48039.180472087894</v>
      </c>
      <c r="G37" s="106">
        <v>1</v>
      </c>
      <c r="H37" s="105">
        <v>48039.180472087894</v>
      </c>
      <c r="I37" s="106">
        <v>1</v>
      </c>
      <c r="J37" s="105">
        <v>48039.180472087894</v>
      </c>
      <c r="K37" s="106">
        <v>1</v>
      </c>
      <c r="L37" s="105">
        <v>48039.180472087894</v>
      </c>
      <c r="M37" s="106" t="s">
        <v>186</v>
      </c>
    </row>
    <row r="38" spans="1:13" x14ac:dyDescent="0.25">
      <c r="A38" s="104" t="s">
        <v>26</v>
      </c>
      <c r="B38" s="104" t="s">
        <v>48</v>
      </c>
      <c r="C38" s="104" t="s">
        <v>49</v>
      </c>
      <c r="D38" s="104" t="s">
        <v>41</v>
      </c>
      <c r="E38" s="105">
        <v>113870.65000791205</v>
      </c>
      <c r="F38" s="105">
        <v>113870.65000791205</v>
      </c>
      <c r="G38" s="106">
        <v>1</v>
      </c>
      <c r="H38" s="105">
        <v>113870.65000791205</v>
      </c>
      <c r="I38" s="106">
        <v>1</v>
      </c>
      <c r="J38" s="105">
        <v>113870.65000791205</v>
      </c>
      <c r="K38" s="106">
        <v>1</v>
      </c>
      <c r="L38" s="105">
        <v>113870.65000791205</v>
      </c>
      <c r="M38" s="106" t="s">
        <v>186</v>
      </c>
    </row>
    <row r="39" spans="1:13" x14ac:dyDescent="0.25">
      <c r="A39" s="104" t="s">
        <v>26</v>
      </c>
      <c r="B39" s="104" t="s">
        <v>48</v>
      </c>
      <c r="C39" s="104" t="s">
        <v>53</v>
      </c>
      <c r="D39" s="104" t="s">
        <v>30</v>
      </c>
      <c r="E39" s="105">
        <v>38583.482900000025</v>
      </c>
      <c r="F39" s="105">
        <v>38583.482900000025</v>
      </c>
      <c r="G39" s="106">
        <v>1</v>
      </c>
      <c r="H39" s="105">
        <v>38583.482900000025</v>
      </c>
      <c r="I39" s="106">
        <v>1</v>
      </c>
      <c r="J39" s="105">
        <v>38583.482900000025</v>
      </c>
      <c r="K39" s="106">
        <v>1</v>
      </c>
      <c r="L39" s="105">
        <v>38583.482900000025</v>
      </c>
      <c r="M39" s="106" t="s">
        <v>186</v>
      </c>
    </row>
    <row r="40" spans="1:13" x14ac:dyDescent="0.25">
      <c r="A40" s="104" t="s">
        <v>26</v>
      </c>
      <c r="B40" s="104" t="s">
        <v>42</v>
      </c>
      <c r="C40" s="104" t="s">
        <v>43</v>
      </c>
      <c r="D40" s="104" t="s">
        <v>30</v>
      </c>
      <c r="E40" s="105">
        <v>117331.45999999999</v>
      </c>
      <c r="F40" s="105">
        <v>117331.45999999999</v>
      </c>
      <c r="G40" s="106">
        <v>1</v>
      </c>
      <c r="H40" s="105">
        <v>117331.45999999999</v>
      </c>
      <c r="I40" s="106">
        <v>1</v>
      </c>
      <c r="J40" s="105">
        <v>117331.45999999999</v>
      </c>
      <c r="K40" s="106">
        <v>1</v>
      </c>
      <c r="L40" s="105">
        <v>117331.45999999999</v>
      </c>
      <c r="M40" s="106" t="s">
        <v>186</v>
      </c>
    </row>
    <row r="41" spans="1:13" ht="45" x14ac:dyDescent="0.25">
      <c r="A41" s="104" t="s">
        <v>26</v>
      </c>
      <c r="B41" s="104" t="s">
        <v>42</v>
      </c>
      <c r="C41" s="104" t="s">
        <v>100</v>
      </c>
      <c r="D41" s="104" t="s">
        <v>40</v>
      </c>
      <c r="E41" s="105">
        <v>31371.858461538464</v>
      </c>
      <c r="F41" s="105">
        <v>31371.858461538464</v>
      </c>
      <c r="G41" s="106">
        <v>1</v>
      </c>
      <c r="H41" s="105">
        <v>31371.858461538464</v>
      </c>
      <c r="I41" s="106">
        <v>1</v>
      </c>
      <c r="J41" s="105">
        <v>31371.858461538464</v>
      </c>
      <c r="K41" s="106">
        <v>1</v>
      </c>
      <c r="L41" s="105">
        <v>31371.858461538464</v>
      </c>
      <c r="M41" s="106" t="s">
        <v>186</v>
      </c>
    </row>
    <row r="42" spans="1:13" x14ac:dyDescent="0.25">
      <c r="A42" s="104" t="s">
        <v>26</v>
      </c>
      <c r="B42" s="104" t="s">
        <v>42</v>
      </c>
      <c r="C42" s="104" t="s">
        <v>44</v>
      </c>
      <c r="D42" s="104" t="s">
        <v>41</v>
      </c>
      <c r="E42" s="105">
        <v>53593.591538461544</v>
      </c>
      <c r="F42" s="105">
        <v>53593.591538461544</v>
      </c>
      <c r="G42" s="106">
        <v>1</v>
      </c>
      <c r="H42" s="105">
        <v>53593.591538461544</v>
      </c>
      <c r="I42" s="106">
        <v>1</v>
      </c>
      <c r="J42" s="105">
        <v>53593.591538461544</v>
      </c>
      <c r="K42" s="106">
        <v>1</v>
      </c>
      <c r="L42" s="105">
        <v>53593.591538461544</v>
      </c>
      <c r="M42" s="106" t="s">
        <v>186</v>
      </c>
    </row>
    <row r="43" spans="1:13" ht="45" x14ac:dyDescent="0.25">
      <c r="A43" s="104" t="s">
        <v>26</v>
      </c>
      <c r="B43" s="104" t="s">
        <v>42</v>
      </c>
      <c r="C43" s="104" t="s">
        <v>156</v>
      </c>
      <c r="D43" s="104" t="s">
        <v>157</v>
      </c>
      <c r="E43" s="105">
        <v>18310.153273878263</v>
      </c>
      <c r="F43" s="105">
        <v>18310.153273878263</v>
      </c>
      <c r="G43" s="106">
        <v>1</v>
      </c>
      <c r="H43" s="105">
        <v>18310.153273878263</v>
      </c>
      <c r="I43" s="106">
        <v>1</v>
      </c>
      <c r="J43" s="105">
        <v>18310.153273878263</v>
      </c>
      <c r="K43" s="106">
        <v>1</v>
      </c>
      <c r="L43" s="105">
        <v>18310.153273878263</v>
      </c>
      <c r="M43" s="106" t="s">
        <v>186</v>
      </c>
    </row>
    <row r="44" spans="1:13" x14ac:dyDescent="0.25">
      <c r="A44" s="104" t="s">
        <v>26</v>
      </c>
      <c r="B44" s="104" t="s">
        <v>42</v>
      </c>
      <c r="C44" s="104" t="s">
        <v>45</v>
      </c>
      <c r="D44" s="104" t="s">
        <v>46</v>
      </c>
      <c r="E44" s="105">
        <v>26811.295865321739</v>
      </c>
      <c r="F44" s="105">
        <v>26811.295865321739</v>
      </c>
      <c r="G44" s="106">
        <v>1</v>
      </c>
      <c r="H44" s="105">
        <v>26811.295865321739</v>
      </c>
      <c r="I44" s="106">
        <v>1</v>
      </c>
      <c r="J44" s="105">
        <v>26811.295865321739</v>
      </c>
      <c r="K44" s="106">
        <v>1</v>
      </c>
      <c r="L44" s="105">
        <v>26811.295865321739</v>
      </c>
      <c r="M44" s="106" t="s">
        <v>186</v>
      </c>
    </row>
    <row r="45" spans="1:13" x14ac:dyDescent="0.25">
      <c r="A45" s="104" t="s">
        <v>26</v>
      </c>
      <c r="B45" s="104" t="s">
        <v>42</v>
      </c>
      <c r="C45" s="104" t="s">
        <v>92</v>
      </c>
      <c r="D45" s="104" t="s">
        <v>30</v>
      </c>
      <c r="E45" s="105">
        <v>19379.126958333338</v>
      </c>
      <c r="F45" s="105">
        <v>19379.126958333338</v>
      </c>
      <c r="G45" s="106">
        <v>1</v>
      </c>
      <c r="H45" s="105">
        <v>19379.126958333338</v>
      </c>
      <c r="I45" s="106">
        <v>1</v>
      </c>
      <c r="J45" s="105">
        <v>19379.126958333338</v>
      </c>
      <c r="K45" s="106">
        <v>1</v>
      </c>
      <c r="L45" s="105">
        <v>19379.126958333338</v>
      </c>
      <c r="M45" s="106" t="s">
        <v>186</v>
      </c>
    </row>
    <row r="46" spans="1:13" x14ac:dyDescent="0.25">
      <c r="A46" s="104" t="s">
        <v>26</v>
      </c>
      <c r="B46" s="104" t="s">
        <v>42</v>
      </c>
      <c r="C46" s="104" t="s">
        <v>158</v>
      </c>
      <c r="D46" s="104" t="s">
        <v>30</v>
      </c>
      <c r="E46" s="105">
        <v>3875.8253916666677</v>
      </c>
      <c r="F46" s="105">
        <v>3875.8253916666677</v>
      </c>
      <c r="G46" s="106">
        <v>1</v>
      </c>
      <c r="H46" s="105">
        <v>3875.8253916666677</v>
      </c>
      <c r="I46" s="106">
        <v>1</v>
      </c>
      <c r="J46" s="105">
        <v>3875.8253916666677</v>
      </c>
      <c r="K46" s="106">
        <v>1</v>
      </c>
      <c r="L46" s="105">
        <v>3875.8253916666677</v>
      </c>
      <c r="M46" s="106" t="s">
        <v>186</v>
      </c>
    </row>
    <row r="47" spans="1:13" x14ac:dyDescent="0.25">
      <c r="A47" s="104" t="s">
        <v>26</v>
      </c>
      <c r="B47" s="104" t="s">
        <v>47</v>
      </c>
      <c r="C47" s="104" t="s">
        <v>47</v>
      </c>
      <c r="D47" s="104" t="s">
        <v>30</v>
      </c>
      <c r="E47" s="105">
        <v>231366.75872000019</v>
      </c>
      <c r="F47" s="105">
        <v>231366.75872000019</v>
      </c>
      <c r="G47" s="106">
        <v>1</v>
      </c>
      <c r="H47" s="105">
        <v>231366.75872000019</v>
      </c>
      <c r="I47" s="106">
        <v>1</v>
      </c>
      <c r="J47" s="105">
        <v>231366.75872000019</v>
      </c>
      <c r="K47" s="106">
        <v>1</v>
      </c>
      <c r="L47" s="105">
        <v>231366.75872000019</v>
      </c>
      <c r="M47" s="106" t="s">
        <v>186</v>
      </c>
    </row>
    <row r="48" spans="1:13" ht="45" x14ac:dyDescent="0.25">
      <c r="A48" s="104" t="s">
        <v>26</v>
      </c>
      <c r="B48" s="104" t="s">
        <v>51</v>
      </c>
      <c r="C48" s="104" t="s">
        <v>73</v>
      </c>
      <c r="D48" s="104" t="s">
        <v>159</v>
      </c>
      <c r="E48" s="105">
        <v>60975.073548387059</v>
      </c>
      <c r="F48" s="105">
        <v>60975.073548387059</v>
      </c>
      <c r="G48" s="106">
        <v>1</v>
      </c>
      <c r="H48" s="105">
        <v>60975.073548387059</v>
      </c>
      <c r="I48" s="106">
        <v>1</v>
      </c>
      <c r="J48" s="105">
        <v>60975.073548387059</v>
      </c>
      <c r="K48" s="106">
        <v>1</v>
      </c>
      <c r="L48" s="105">
        <v>60975.073548387059</v>
      </c>
      <c r="M48" s="106" t="s">
        <v>186</v>
      </c>
    </row>
    <row r="49" spans="1:13" ht="45" x14ac:dyDescent="0.25">
      <c r="A49" s="104" t="s">
        <v>26</v>
      </c>
      <c r="B49" s="104" t="s">
        <v>51</v>
      </c>
      <c r="C49" s="104" t="s">
        <v>73</v>
      </c>
      <c r="D49" s="104" t="s">
        <v>160</v>
      </c>
      <c r="E49" s="105">
        <v>46627.997419354811</v>
      </c>
      <c r="F49" s="105">
        <v>32280.92129032256</v>
      </c>
      <c r="G49" s="106">
        <v>0.69230769230769229</v>
      </c>
      <c r="H49" s="105">
        <v>32280.92129032256</v>
      </c>
      <c r="I49" s="106">
        <v>0.69230769230769229</v>
      </c>
      <c r="J49" s="105">
        <v>28694.1522580645</v>
      </c>
      <c r="K49" s="106">
        <v>0.61538461538461542</v>
      </c>
      <c r="L49" s="105">
        <v>0</v>
      </c>
      <c r="M49" s="106" t="s">
        <v>187</v>
      </c>
    </row>
    <row r="50" spans="1:13" ht="45" x14ac:dyDescent="0.25">
      <c r="A50" s="104" t="s">
        <v>26</v>
      </c>
      <c r="B50" s="104" t="s">
        <v>51</v>
      </c>
      <c r="C50" s="104" t="s">
        <v>73</v>
      </c>
      <c r="D50" s="104" t="s">
        <v>161</v>
      </c>
      <c r="E50" s="105">
        <v>3586.7690322580625</v>
      </c>
      <c r="F50" s="105">
        <v>3586.7690322580625</v>
      </c>
      <c r="G50" s="106">
        <v>1</v>
      </c>
      <c r="H50" s="105">
        <v>3586.7690322580625</v>
      </c>
      <c r="I50" s="106">
        <v>1</v>
      </c>
      <c r="J50" s="105">
        <v>0</v>
      </c>
      <c r="K50" s="106">
        <v>0</v>
      </c>
      <c r="L50" s="105">
        <v>0</v>
      </c>
      <c r="M50" s="106" t="s">
        <v>187</v>
      </c>
    </row>
    <row r="51" spans="1:13" ht="45" x14ac:dyDescent="0.25">
      <c r="A51" s="104" t="s">
        <v>26</v>
      </c>
      <c r="B51" s="104" t="s">
        <v>51</v>
      </c>
      <c r="C51" s="104" t="s">
        <v>72</v>
      </c>
      <c r="D51" s="104" t="s">
        <v>159</v>
      </c>
      <c r="E51" s="105">
        <v>56297.169999999955</v>
      </c>
      <c r="F51" s="105">
        <v>56297.169999999955</v>
      </c>
      <c r="G51" s="106">
        <v>1</v>
      </c>
      <c r="H51" s="105">
        <v>56297.169999999955</v>
      </c>
      <c r="I51" s="106">
        <v>1</v>
      </c>
      <c r="J51" s="105">
        <v>56297.169999999955</v>
      </c>
      <c r="K51" s="106">
        <v>1</v>
      </c>
      <c r="L51" s="105">
        <v>56297.169999999955</v>
      </c>
      <c r="M51" s="106" t="s">
        <v>186</v>
      </c>
    </row>
    <row r="52" spans="1:13" ht="45" x14ac:dyDescent="0.25">
      <c r="A52" s="104" t="s">
        <v>26</v>
      </c>
      <c r="B52" s="104" t="s">
        <v>51</v>
      </c>
      <c r="C52" s="104" t="s">
        <v>72</v>
      </c>
      <c r="D52" s="104" t="s">
        <v>160</v>
      </c>
      <c r="E52" s="105">
        <v>56297.169999999955</v>
      </c>
      <c r="F52" s="105">
        <v>56297.169999999955</v>
      </c>
      <c r="G52" s="106">
        <v>1</v>
      </c>
      <c r="H52" s="105">
        <v>56297.169999999955</v>
      </c>
      <c r="I52" s="106">
        <v>1</v>
      </c>
      <c r="J52" s="105">
        <v>56297.169999999955</v>
      </c>
      <c r="K52" s="106">
        <v>1</v>
      </c>
      <c r="L52" s="105">
        <v>56297.169999999955</v>
      </c>
      <c r="M52" s="106" t="s">
        <v>186</v>
      </c>
    </row>
    <row r="53" spans="1:13" ht="45" x14ac:dyDescent="0.25">
      <c r="A53" s="104" t="s">
        <v>26</v>
      </c>
      <c r="B53" s="104" t="s">
        <v>51</v>
      </c>
      <c r="C53" s="104" t="s">
        <v>69</v>
      </c>
      <c r="D53" s="104" t="s">
        <v>159</v>
      </c>
      <c r="E53" s="105">
        <v>51802.619999999923</v>
      </c>
      <c r="F53" s="105">
        <v>51802.619999999923</v>
      </c>
      <c r="G53" s="106">
        <v>1</v>
      </c>
      <c r="H53" s="105">
        <v>51802.619999999923</v>
      </c>
      <c r="I53" s="106">
        <v>1</v>
      </c>
      <c r="J53" s="105">
        <v>51802.619999999923</v>
      </c>
      <c r="K53" s="106">
        <v>1</v>
      </c>
      <c r="L53" s="105">
        <v>51802.619999999923</v>
      </c>
      <c r="M53" s="106" t="s">
        <v>186</v>
      </c>
    </row>
    <row r="54" spans="1:13" ht="45" x14ac:dyDescent="0.25">
      <c r="A54" s="104" t="s">
        <v>26</v>
      </c>
      <c r="B54" s="104" t="s">
        <v>51</v>
      </c>
      <c r="C54" s="104" t="s">
        <v>69</v>
      </c>
      <c r="D54" s="104" t="s">
        <v>160</v>
      </c>
      <c r="E54" s="105">
        <v>51802.619999999923</v>
      </c>
      <c r="F54" s="105">
        <v>51802.619999999923</v>
      </c>
      <c r="G54" s="106">
        <v>1</v>
      </c>
      <c r="H54" s="105">
        <v>51802.619999999923</v>
      </c>
      <c r="I54" s="106">
        <v>1</v>
      </c>
      <c r="J54" s="105">
        <v>51802.619999999923</v>
      </c>
      <c r="K54" s="106">
        <v>1</v>
      </c>
      <c r="L54" s="105">
        <v>51802.619999999923</v>
      </c>
      <c r="M54" s="106" t="s">
        <v>186</v>
      </c>
    </row>
    <row r="55" spans="1:13" ht="45" x14ac:dyDescent="0.25">
      <c r="A55" s="104" t="s">
        <v>26</v>
      </c>
      <c r="B55" s="104" t="s">
        <v>51</v>
      </c>
      <c r="C55" s="104" t="s">
        <v>68</v>
      </c>
      <c r="D55" s="104" t="s">
        <v>159</v>
      </c>
      <c r="E55" s="105">
        <v>89929.743749999994</v>
      </c>
      <c r="F55" s="105">
        <v>89929.743749999994</v>
      </c>
      <c r="G55" s="106">
        <v>1</v>
      </c>
      <c r="H55" s="105">
        <v>89929.743749999994</v>
      </c>
      <c r="I55" s="106">
        <v>1</v>
      </c>
      <c r="J55" s="105">
        <v>89929.743749999994</v>
      </c>
      <c r="K55" s="106">
        <v>1</v>
      </c>
      <c r="L55" s="105">
        <v>89929.743749999994</v>
      </c>
      <c r="M55" s="106" t="s">
        <v>186</v>
      </c>
    </row>
    <row r="56" spans="1:13" ht="45" x14ac:dyDescent="0.25">
      <c r="A56" s="104" t="s">
        <v>26</v>
      </c>
      <c r="B56" s="104" t="s">
        <v>51</v>
      </c>
      <c r="C56" s="104" t="s">
        <v>68</v>
      </c>
      <c r="D56" s="104" t="s">
        <v>160</v>
      </c>
      <c r="E56" s="105">
        <v>5995.3162499999999</v>
      </c>
      <c r="F56" s="105">
        <v>5995.3162499999999</v>
      </c>
      <c r="G56" s="106">
        <v>1</v>
      </c>
      <c r="H56" s="105">
        <v>5995.3162499999999</v>
      </c>
      <c r="I56" s="106">
        <v>1</v>
      </c>
      <c r="J56" s="105">
        <v>5995.3162499999999</v>
      </c>
      <c r="K56" s="106">
        <v>1</v>
      </c>
      <c r="L56" s="105">
        <v>5995.3162499999999</v>
      </c>
      <c r="M56" s="106" t="s">
        <v>186</v>
      </c>
    </row>
    <row r="57" spans="1:13" ht="45" x14ac:dyDescent="0.25">
      <c r="A57" s="104" t="s">
        <v>26</v>
      </c>
      <c r="B57" s="104" t="s">
        <v>51</v>
      </c>
      <c r="C57" s="104" t="s">
        <v>60</v>
      </c>
      <c r="D57" s="104" t="s">
        <v>159</v>
      </c>
      <c r="E57" s="105">
        <v>84125.098536585356</v>
      </c>
      <c r="F57" s="105">
        <v>84125.098536585356</v>
      </c>
      <c r="G57" s="106">
        <v>1</v>
      </c>
      <c r="H57" s="105">
        <v>84125.098536585356</v>
      </c>
      <c r="I57" s="106">
        <v>1</v>
      </c>
      <c r="J57" s="105">
        <v>84125.098536585356</v>
      </c>
      <c r="K57" s="106">
        <v>1</v>
      </c>
      <c r="L57" s="105">
        <v>84125.098536585356</v>
      </c>
      <c r="M57" s="106" t="s">
        <v>186</v>
      </c>
    </row>
    <row r="58" spans="1:13" ht="45" x14ac:dyDescent="0.25">
      <c r="A58" s="104" t="s">
        <v>26</v>
      </c>
      <c r="B58" s="104" t="s">
        <v>51</v>
      </c>
      <c r="C58" s="104" t="s">
        <v>60</v>
      </c>
      <c r="D58" s="104" t="s">
        <v>160</v>
      </c>
      <c r="E58" s="105">
        <v>11684.041463414633</v>
      </c>
      <c r="F58" s="105">
        <v>11684.041463414633</v>
      </c>
      <c r="G58" s="106">
        <v>1</v>
      </c>
      <c r="H58" s="105">
        <v>11684.041463414633</v>
      </c>
      <c r="I58" s="106">
        <v>1</v>
      </c>
      <c r="J58" s="105">
        <v>11684.041463414633</v>
      </c>
      <c r="K58" s="106">
        <v>1</v>
      </c>
      <c r="L58" s="105">
        <v>11684.041463414633</v>
      </c>
      <c r="M58" s="106" t="s">
        <v>186</v>
      </c>
    </row>
    <row r="59" spans="1:13" ht="45" x14ac:dyDescent="0.25">
      <c r="A59" s="104" t="s">
        <v>26</v>
      </c>
      <c r="B59" s="104" t="s">
        <v>51</v>
      </c>
      <c r="C59" s="104" t="s">
        <v>57</v>
      </c>
      <c r="D59" s="104" t="s">
        <v>159</v>
      </c>
      <c r="E59" s="105">
        <v>92753.886822227039</v>
      </c>
      <c r="F59" s="105">
        <v>92753.886822227039</v>
      </c>
      <c r="G59" s="106">
        <v>1</v>
      </c>
      <c r="H59" s="105">
        <v>92753.886822227039</v>
      </c>
      <c r="I59" s="106">
        <v>1</v>
      </c>
      <c r="J59" s="105">
        <v>92753.886822227039</v>
      </c>
      <c r="K59" s="106">
        <v>1</v>
      </c>
      <c r="L59" s="105">
        <v>92753.886822227039</v>
      </c>
      <c r="M59" s="106" t="s">
        <v>186</v>
      </c>
    </row>
    <row r="60" spans="1:13" ht="45" x14ac:dyDescent="0.25">
      <c r="A60" s="104" t="s">
        <v>26</v>
      </c>
      <c r="B60" s="104" t="s">
        <v>51</v>
      </c>
      <c r="C60" s="104" t="s">
        <v>57</v>
      </c>
      <c r="D60" s="104" t="s">
        <v>160</v>
      </c>
      <c r="E60" s="105">
        <v>2576.4968561729734</v>
      </c>
      <c r="F60" s="105">
        <v>2576.4968561729734</v>
      </c>
      <c r="G60" s="106">
        <v>1</v>
      </c>
      <c r="H60" s="105">
        <v>2576.4968561729734</v>
      </c>
      <c r="I60" s="106">
        <v>1</v>
      </c>
      <c r="J60" s="105">
        <v>2576.4968561729734</v>
      </c>
      <c r="K60" s="106">
        <v>1</v>
      </c>
      <c r="L60" s="105">
        <v>2576.4968561729734</v>
      </c>
      <c r="M60" s="106" t="s">
        <v>186</v>
      </c>
    </row>
    <row r="61" spans="1:13" ht="45" x14ac:dyDescent="0.25">
      <c r="A61" s="104" t="s">
        <v>26</v>
      </c>
      <c r="B61" s="104" t="s">
        <v>51</v>
      </c>
      <c r="C61" s="104" t="s">
        <v>55</v>
      </c>
      <c r="D61" s="104" t="s">
        <v>159</v>
      </c>
      <c r="E61" s="105">
        <v>33687.787500000006</v>
      </c>
      <c r="F61" s="105">
        <v>33687.787500000006</v>
      </c>
      <c r="G61" s="106">
        <v>1</v>
      </c>
      <c r="H61" s="105">
        <v>33687.787500000006</v>
      </c>
      <c r="I61" s="106">
        <v>1</v>
      </c>
      <c r="J61" s="105">
        <v>33687.787500000006</v>
      </c>
      <c r="K61" s="106">
        <v>1</v>
      </c>
      <c r="L61" s="105">
        <v>33687.787500000006</v>
      </c>
      <c r="M61" s="106" t="s">
        <v>186</v>
      </c>
    </row>
    <row r="62" spans="1:13" ht="45" x14ac:dyDescent="0.25">
      <c r="A62" s="104" t="s">
        <v>26</v>
      </c>
      <c r="B62" s="104" t="s">
        <v>51</v>
      </c>
      <c r="C62" s="104" t="s">
        <v>55</v>
      </c>
      <c r="D62" s="104" t="s">
        <v>160</v>
      </c>
      <c r="E62" s="105">
        <v>1464.6864130434785</v>
      </c>
      <c r="F62" s="105">
        <v>1464.6864130434785</v>
      </c>
      <c r="G62" s="106">
        <v>1</v>
      </c>
      <c r="H62" s="105">
        <v>1464.6864130434785</v>
      </c>
      <c r="I62" s="106">
        <v>1</v>
      </c>
      <c r="J62" s="105">
        <v>1464.6864130434785</v>
      </c>
      <c r="K62" s="106">
        <v>1</v>
      </c>
      <c r="L62" s="105">
        <v>1464.6864130434785</v>
      </c>
      <c r="M62" s="106" t="s">
        <v>186</v>
      </c>
    </row>
    <row r="63" spans="1:13" ht="45" x14ac:dyDescent="0.25">
      <c r="A63" s="104" t="s">
        <v>26</v>
      </c>
      <c r="B63" s="104" t="s">
        <v>51</v>
      </c>
      <c r="C63" s="104" t="s">
        <v>55</v>
      </c>
      <c r="D63" s="104" t="s">
        <v>162</v>
      </c>
      <c r="E63" s="105">
        <v>99598.676086956533</v>
      </c>
      <c r="F63" s="105">
        <v>99598.676086956533</v>
      </c>
      <c r="G63" s="106">
        <v>1</v>
      </c>
      <c r="H63" s="105">
        <v>99598.676086956533</v>
      </c>
      <c r="I63" s="106">
        <v>1</v>
      </c>
      <c r="J63" s="105">
        <v>99598.676086956533</v>
      </c>
      <c r="K63" s="106">
        <v>1</v>
      </c>
      <c r="L63" s="105">
        <v>99598.676086956533</v>
      </c>
      <c r="M63" s="106" t="s">
        <v>186</v>
      </c>
    </row>
    <row r="64" spans="1:13" ht="45" x14ac:dyDescent="0.25">
      <c r="A64" s="104" t="s">
        <v>26</v>
      </c>
      <c r="B64" s="104" t="s">
        <v>51</v>
      </c>
      <c r="C64" s="104" t="s">
        <v>52</v>
      </c>
      <c r="D64" s="104" t="s">
        <v>159</v>
      </c>
      <c r="E64" s="105">
        <v>67096.790270270314</v>
      </c>
      <c r="F64" s="105">
        <v>67096.790270270314</v>
      </c>
      <c r="G64" s="106">
        <v>1</v>
      </c>
      <c r="H64" s="105">
        <v>67096.790270270314</v>
      </c>
      <c r="I64" s="106">
        <v>1</v>
      </c>
      <c r="J64" s="105">
        <v>67096.790270270314</v>
      </c>
      <c r="K64" s="106">
        <v>1</v>
      </c>
      <c r="L64" s="105">
        <v>67096.790270270314</v>
      </c>
      <c r="M64" s="106" t="s">
        <v>186</v>
      </c>
    </row>
    <row r="65" spans="1:13" ht="45" x14ac:dyDescent="0.25">
      <c r="A65" s="104" t="s">
        <v>26</v>
      </c>
      <c r="B65" s="104" t="s">
        <v>51</v>
      </c>
      <c r="C65" s="104" t="s">
        <v>52</v>
      </c>
      <c r="D65" s="104" t="s">
        <v>163</v>
      </c>
      <c r="E65" s="105">
        <v>1863.7997297297309</v>
      </c>
      <c r="F65" s="105">
        <v>1863.7997297297309</v>
      </c>
      <c r="G65" s="106">
        <v>1</v>
      </c>
      <c r="H65" s="105">
        <v>1863.7997297297309</v>
      </c>
      <c r="I65" s="106">
        <v>1</v>
      </c>
      <c r="J65" s="105">
        <v>1863.7997297297309</v>
      </c>
      <c r="K65" s="106">
        <v>1</v>
      </c>
      <c r="L65" s="105">
        <v>1863.7997297297309</v>
      </c>
      <c r="M65" s="106" t="s">
        <v>186</v>
      </c>
    </row>
    <row r="66" spans="1:13" ht="30" x14ac:dyDescent="0.25">
      <c r="A66" s="106" t="s">
        <v>114</v>
      </c>
      <c r="B66" s="106" t="s">
        <v>114</v>
      </c>
      <c r="C66" s="106" t="s">
        <v>114</v>
      </c>
      <c r="D66" s="106" t="s">
        <v>114</v>
      </c>
      <c r="E66" s="106" t="s">
        <v>219</v>
      </c>
      <c r="F66" s="106" t="s">
        <v>220</v>
      </c>
      <c r="G66" s="106" t="s">
        <v>114</v>
      </c>
      <c r="H66" s="106" t="s">
        <v>221</v>
      </c>
      <c r="I66" s="106" t="s">
        <v>114</v>
      </c>
      <c r="J66" s="106" t="s">
        <v>222</v>
      </c>
      <c r="K66" s="106" t="s">
        <v>114</v>
      </c>
      <c r="L66" s="106" t="s">
        <v>225</v>
      </c>
      <c r="M66" s="106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A4D9E-0E51-41DC-9809-C83B6064DEB5}">
  <dimension ref="A1:L66"/>
  <sheetViews>
    <sheetView topLeftCell="A58" workbookViewId="0">
      <selection activeCell="A2" sqref="A2:L65"/>
    </sheetView>
  </sheetViews>
  <sheetFormatPr defaultRowHeight="15" x14ac:dyDescent="0.25"/>
  <sheetData>
    <row r="1" spans="1:12" x14ac:dyDescent="0.25">
      <c r="A1" s="99" t="s">
        <v>176</v>
      </c>
      <c r="B1" s="99" t="s">
        <v>177</v>
      </c>
      <c r="C1" s="99" t="s">
        <v>178</v>
      </c>
      <c r="D1" s="99" t="s">
        <v>179</v>
      </c>
      <c r="E1" s="99" t="s">
        <v>106</v>
      </c>
      <c r="F1" s="99" t="s">
        <v>180</v>
      </c>
      <c r="G1" s="99" t="s">
        <v>108</v>
      </c>
      <c r="H1" s="99" t="s">
        <v>181</v>
      </c>
      <c r="I1" s="99" t="s">
        <v>182</v>
      </c>
      <c r="J1" s="99" t="s">
        <v>183</v>
      </c>
      <c r="K1" s="99" t="s">
        <v>184</v>
      </c>
      <c r="L1" s="99" t="s">
        <v>185</v>
      </c>
    </row>
    <row r="2" spans="1:12" x14ac:dyDescent="0.25">
      <c r="A2" s="100" t="s">
        <v>54</v>
      </c>
      <c r="B2" s="100" t="s">
        <v>82</v>
      </c>
      <c r="C2" s="100" t="s">
        <v>83</v>
      </c>
      <c r="D2" s="101">
        <v>61696.523999999998</v>
      </c>
      <c r="E2" s="101">
        <v>0</v>
      </c>
      <c r="F2" s="102" t="s">
        <v>187</v>
      </c>
      <c r="G2" s="101">
        <v>0</v>
      </c>
      <c r="H2" s="102" t="s">
        <v>187</v>
      </c>
      <c r="I2" s="101">
        <v>0</v>
      </c>
      <c r="J2" s="102" t="s">
        <v>187</v>
      </c>
      <c r="K2" s="101">
        <v>0</v>
      </c>
      <c r="L2" s="102">
        <v>0</v>
      </c>
    </row>
    <row r="3" spans="1:12" x14ac:dyDescent="0.25">
      <c r="A3" s="100" t="s">
        <v>54</v>
      </c>
      <c r="B3" s="100" t="s">
        <v>84</v>
      </c>
      <c r="C3" s="100" t="s">
        <v>83</v>
      </c>
      <c r="D3" s="101">
        <v>61512.597399999991</v>
      </c>
      <c r="E3" s="101">
        <v>0</v>
      </c>
      <c r="F3" s="102" t="s">
        <v>187</v>
      </c>
      <c r="G3" s="101">
        <v>0</v>
      </c>
      <c r="H3" s="102" t="s">
        <v>187</v>
      </c>
      <c r="I3" s="101">
        <v>0</v>
      </c>
      <c r="J3" s="102" t="s">
        <v>187</v>
      </c>
      <c r="K3" s="101">
        <v>0</v>
      </c>
      <c r="L3" s="102">
        <v>0</v>
      </c>
    </row>
    <row r="4" spans="1:12" x14ac:dyDescent="0.25">
      <c r="A4" s="100" t="s">
        <v>54</v>
      </c>
      <c r="B4" s="100" t="s">
        <v>94</v>
      </c>
      <c r="C4" s="100" t="s">
        <v>101</v>
      </c>
      <c r="D4" s="101">
        <v>116529.74</v>
      </c>
      <c r="E4" s="101">
        <v>58264.87</v>
      </c>
      <c r="F4" s="102" t="s">
        <v>188</v>
      </c>
      <c r="G4" s="101">
        <v>34958.921999999999</v>
      </c>
      <c r="H4" s="102" t="s">
        <v>189</v>
      </c>
      <c r="I4" s="101">
        <v>23305.948000000004</v>
      </c>
      <c r="J4" s="102" t="s">
        <v>190</v>
      </c>
      <c r="K4" s="101">
        <v>0</v>
      </c>
      <c r="L4" s="102">
        <v>0</v>
      </c>
    </row>
    <row r="5" spans="1:12" ht="30" x14ac:dyDescent="0.25">
      <c r="A5" s="100" t="s">
        <v>54</v>
      </c>
      <c r="B5" s="100" t="s">
        <v>79</v>
      </c>
      <c r="C5" s="100" t="s">
        <v>59</v>
      </c>
      <c r="D5" s="101">
        <v>66526.931673225015</v>
      </c>
      <c r="E5" s="101">
        <v>66526.931673225015</v>
      </c>
      <c r="F5" s="102" t="s">
        <v>186</v>
      </c>
      <c r="G5" s="101">
        <v>66526.931673225015</v>
      </c>
      <c r="H5" s="102" t="s">
        <v>186</v>
      </c>
      <c r="I5" s="101">
        <v>66526.931673225015</v>
      </c>
      <c r="J5" s="102" t="s">
        <v>186</v>
      </c>
      <c r="K5" s="101">
        <v>66526.931673225015</v>
      </c>
      <c r="L5" s="102">
        <v>1</v>
      </c>
    </row>
    <row r="6" spans="1:12" ht="30" x14ac:dyDescent="0.25">
      <c r="A6" s="100" t="s">
        <v>54</v>
      </c>
      <c r="B6" s="100" t="s">
        <v>80</v>
      </c>
      <c r="C6" s="100" t="s">
        <v>59</v>
      </c>
      <c r="D6" s="101">
        <v>27322.570000000014</v>
      </c>
      <c r="E6" s="101">
        <v>27322.570000000014</v>
      </c>
      <c r="F6" s="102" t="s">
        <v>186</v>
      </c>
      <c r="G6" s="101">
        <v>27322.570000000014</v>
      </c>
      <c r="H6" s="102" t="s">
        <v>186</v>
      </c>
      <c r="I6" s="101">
        <v>27322.570000000014</v>
      </c>
      <c r="J6" s="102" t="s">
        <v>186</v>
      </c>
      <c r="K6" s="101">
        <v>27322.570000000014</v>
      </c>
      <c r="L6" s="102">
        <v>1</v>
      </c>
    </row>
    <row r="7" spans="1:12" ht="30" x14ac:dyDescent="0.25">
      <c r="A7" s="100" t="s">
        <v>54</v>
      </c>
      <c r="B7" s="100" t="s">
        <v>89</v>
      </c>
      <c r="C7" s="100" t="s">
        <v>59</v>
      </c>
      <c r="D7" s="101">
        <v>7738.8999999999987</v>
      </c>
      <c r="E7" s="101">
        <v>7738.8999999999987</v>
      </c>
      <c r="F7" s="102" t="s">
        <v>186</v>
      </c>
      <c r="G7" s="101">
        <v>7738.8999999999987</v>
      </c>
      <c r="H7" s="102" t="s">
        <v>186</v>
      </c>
      <c r="I7" s="101">
        <v>7738.8999999999987</v>
      </c>
      <c r="J7" s="102" t="s">
        <v>186</v>
      </c>
      <c r="K7" s="101">
        <v>7738.8999999999987</v>
      </c>
      <c r="L7" s="102">
        <v>1</v>
      </c>
    </row>
    <row r="8" spans="1:12" ht="30" x14ac:dyDescent="0.25">
      <c r="A8" s="100" t="s">
        <v>54</v>
      </c>
      <c r="B8" s="100" t="s">
        <v>90</v>
      </c>
      <c r="C8" s="100" t="s">
        <v>59</v>
      </c>
      <c r="D8" s="101">
        <v>12606.7</v>
      </c>
      <c r="E8" s="101">
        <v>12606.7</v>
      </c>
      <c r="F8" s="102" t="s">
        <v>186</v>
      </c>
      <c r="G8" s="101">
        <v>12606.7</v>
      </c>
      <c r="H8" s="102" t="s">
        <v>186</v>
      </c>
      <c r="I8" s="101">
        <v>12606.7</v>
      </c>
      <c r="J8" s="102" t="s">
        <v>186</v>
      </c>
      <c r="K8" s="101">
        <v>12606.7</v>
      </c>
      <c r="L8" s="102">
        <v>1</v>
      </c>
    </row>
    <row r="9" spans="1:12" ht="30" x14ac:dyDescent="0.25">
      <c r="A9" s="100" t="s">
        <v>54</v>
      </c>
      <c r="B9" s="100" t="s">
        <v>87</v>
      </c>
      <c r="C9" s="100" t="s">
        <v>59</v>
      </c>
      <c r="D9" s="101">
        <v>11821.399999999996</v>
      </c>
      <c r="E9" s="101">
        <v>11821.399999999996</v>
      </c>
      <c r="F9" s="102" t="s">
        <v>186</v>
      </c>
      <c r="G9" s="101">
        <v>11821.399999999996</v>
      </c>
      <c r="H9" s="102" t="s">
        <v>186</v>
      </c>
      <c r="I9" s="101">
        <v>11821.399999999996</v>
      </c>
      <c r="J9" s="102" t="s">
        <v>186</v>
      </c>
      <c r="K9" s="101">
        <v>11821.399999999996</v>
      </c>
      <c r="L9" s="102">
        <v>1</v>
      </c>
    </row>
    <row r="10" spans="1:12" ht="30" x14ac:dyDescent="0.25">
      <c r="A10" s="100" t="s">
        <v>54</v>
      </c>
      <c r="B10" s="100" t="s">
        <v>93</v>
      </c>
      <c r="C10" s="100" t="s">
        <v>59</v>
      </c>
      <c r="D10" s="101">
        <v>13649.199999999999</v>
      </c>
      <c r="E10" s="101">
        <v>13649.199999999999</v>
      </c>
      <c r="F10" s="102" t="s">
        <v>186</v>
      </c>
      <c r="G10" s="101">
        <v>13649.199999999999</v>
      </c>
      <c r="H10" s="102" t="s">
        <v>186</v>
      </c>
      <c r="I10" s="101">
        <v>13649.199999999999</v>
      </c>
      <c r="J10" s="102" t="s">
        <v>186</v>
      </c>
      <c r="K10" s="101">
        <v>13649.199999999999</v>
      </c>
      <c r="L10" s="102">
        <v>1</v>
      </c>
    </row>
    <row r="11" spans="1:12" ht="30" x14ac:dyDescent="0.25">
      <c r="A11" s="100" t="s">
        <v>54</v>
      </c>
      <c r="B11" s="100" t="s">
        <v>58</v>
      </c>
      <c r="C11" s="100" t="s">
        <v>59</v>
      </c>
      <c r="D11" s="101">
        <v>18015.695291250006</v>
      </c>
      <c r="E11" s="101">
        <v>18015.695291250006</v>
      </c>
      <c r="F11" s="102" t="s">
        <v>186</v>
      </c>
      <c r="G11" s="101">
        <v>18015.695291250006</v>
      </c>
      <c r="H11" s="102" t="s">
        <v>186</v>
      </c>
      <c r="I11" s="101">
        <v>18015.695291250006</v>
      </c>
      <c r="J11" s="102" t="s">
        <v>186</v>
      </c>
      <c r="K11" s="101">
        <v>18015.695291250006</v>
      </c>
      <c r="L11" s="102">
        <v>1</v>
      </c>
    </row>
    <row r="12" spans="1:12" ht="30" x14ac:dyDescent="0.25">
      <c r="A12" s="100" t="s">
        <v>54</v>
      </c>
      <c r="B12" s="100" t="s">
        <v>77</v>
      </c>
      <c r="C12" s="100" t="s">
        <v>59</v>
      </c>
      <c r="D12" s="101">
        <v>14499.954724850006</v>
      </c>
      <c r="E12" s="101">
        <v>14499.954724850006</v>
      </c>
      <c r="F12" s="102" t="s">
        <v>186</v>
      </c>
      <c r="G12" s="101">
        <v>14499.954724850006</v>
      </c>
      <c r="H12" s="102" t="s">
        <v>186</v>
      </c>
      <c r="I12" s="101">
        <v>14499.954724850006</v>
      </c>
      <c r="J12" s="102" t="s">
        <v>186</v>
      </c>
      <c r="K12" s="101">
        <v>14499.954724850006</v>
      </c>
      <c r="L12" s="102">
        <v>1</v>
      </c>
    </row>
    <row r="13" spans="1:12" x14ac:dyDescent="0.25">
      <c r="A13" s="100" t="s">
        <v>27</v>
      </c>
      <c r="B13" s="100" t="s">
        <v>28</v>
      </c>
      <c r="C13" s="100" t="s">
        <v>30</v>
      </c>
      <c r="D13" s="101">
        <v>96552.957720588165</v>
      </c>
      <c r="E13" s="101">
        <v>96552.957720588165</v>
      </c>
      <c r="F13" s="102" t="s">
        <v>186</v>
      </c>
      <c r="G13" s="101">
        <v>96552.957720588165</v>
      </c>
      <c r="H13" s="102" t="s">
        <v>186</v>
      </c>
      <c r="I13" s="101">
        <v>96552.957720588165</v>
      </c>
      <c r="J13" s="102" t="s">
        <v>186</v>
      </c>
      <c r="K13" s="101">
        <v>96552.957720588165</v>
      </c>
      <c r="L13" s="102">
        <v>1</v>
      </c>
    </row>
    <row r="14" spans="1:12" ht="45" x14ac:dyDescent="0.25">
      <c r="A14" s="100" t="s">
        <v>27</v>
      </c>
      <c r="B14" s="100" t="s">
        <v>154</v>
      </c>
      <c r="C14" s="100" t="s">
        <v>155</v>
      </c>
      <c r="D14" s="101">
        <v>69664.792279411718</v>
      </c>
      <c r="E14" s="101">
        <v>69664.792279411718</v>
      </c>
      <c r="F14" s="102" t="s">
        <v>186</v>
      </c>
      <c r="G14" s="101">
        <v>69664.792279411718</v>
      </c>
      <c r="H14" s="102" t="s">
        <v>186</v>
      </c>
      <c r="I14" s="101">
        <v>69664.792279411718</v>
      </c>
      <c r="J14" s="102" t="s">
        <v>186</v>
      </c>
      <c r="K14" s="101">
        <v>69664.792279411718</v>
      </c>
      <c r="L14" s="102">
        <v>1</v>
      </c>
    </row>
    <row r="15" spans="1:12" ht="45" x14ac:dyDescent="0.25">
      <c r="A15" s="100" t="s">
        <v>27</v>
      </c>
      <c r="B15" s="100" t="s">
        <v>96</v>
      </c>
      <c r="C15" s="100" t="s">
        <v>32</v>
      </c>
      <c r="D15" s="101">
        <v>7161.8114376280319</v>
      </c>
      <c r="E15" s="101">
        <v>7161.8114376280319</v>
      </c>
      <c r="F15" s="102" t="s">
        <v>186</v>
      </c>
      <c r="G15" s="101">
        <v>7161.8114376280319</v>
      </c>
      <c r="H15" s="102" t="s">
        <v>186</v>
      </c>
      <c r="I15" s="101">
        <v>7161.8114376280319</v>
      </c>
      <c r="J15" s="102" t="s">
        <v>186</v>
      </c>
      <c r="K15" s="101">
        <v>7161.8114376280319</v>
      </c>
      <c r="L15" s="102">
        <v>1</v>
      </c>
    </row>
    <row r="16" spans="1:12" x14ac:dyDescent="0.25">
      <c r="A16" s="100" t="s">
        <v>27</v>
      </c>
      <c r="B16" s="100" t="s">
        <v>31</v>
      </c>
      <c r="C16" s="100" t="s">
        <v>33</v>
      </c>
      <c r="D16" s="101">
        <v>108361.32088237196</v>
      </c>
      <c r="E16" s="101">
        <v>108361.32088237196</v>
      </c>
      <c r="F16" s="102" t="s">
        <v>186</v>
      </c>
      <c r="G16" s="101">
        <v>108361.32088237196</v>
      </c>
      <c r="H16" s="102" t="s">
        <v>186</v>
      </c>
      <c r="I16" s="101">
        <v>108361.32088237196</v>
      </c>
      <c r="J16" s="102" t="s">
        <v>186</v>
      </c>
      <c r="K16" s="101">
        <v>108361.32088237196</v>
      </c>
      <c r="L16" s="102">
        <v>1</v>
      </c>
    </row>
    <row r="17" spans="1:12" ht="45" x14ac:dyDescent="0.25">
      <c r="A17" s="100" t="s">
        <v>27</v>
      </c>
      <c r="B17" s="100" t="s">
        <v>97</v>
      </c>
      <c r="C17" s="100" t="s">
        <v>35</v>
      </c>
      <c r="D17" s="101">
        <v>28819.23</v>
      </c>
      <c r="E17" s="101">
        <v>28819.23</v>
      </c>
      <c r="F17" s="102" t="s">
        <v>186</v>
      </c>
      <c r="G17" s="101">
        <v>28819.23</v>
      </c>
      <c r="H17" s="102" t="s">
        <v>186</v>
      </c>
      <c r="I17" s="101">
        <v>28819.23</v>
      </c>
      <c r="J17" s="102" t="s">
        <v>186</v>
      </c>
      <c r="K17" s="101">
        <v>28819.23</v>
      </c>
      <c r="L17" s="102">
        <v>1</v>
      </c>
    </row>
    <row r="18" spans="1:12" x14ac:dyDescent="0.25">
      <c r="A18" s="100" t="s">
        <v>27</v>
      </c>
      <c r="B18" s="100" t="s">
        <v>34</v>
      </c>
      <c r="C18" s="100" t="s">
        <v>36</v>
      </c>
      <c r="D18" s="101">
        <v>41918.879999999997</v>
      </c>
      <c r="E18" s="101">
        <v>41918.879999999997</v>
      </c>
      <c r="F18" s="102" t="s">
        <v>186</v>
      </c>
      <c r="G18" s="101">
        <v>41918.879999999997</v>
      </c>
      <c r="H18" s="102" t="s">
        <v>186</v>
      </c>
      <c r="I18" s="101">
        <v>41918.879999999997</v>
      </c>
      <c r="J18" s="102" t="s">
        <v>186</v>
      </c>
      <c r="K18" s="101">
        <v>41918.879999999997</v>
      </c>
      <c r="L18" s="102">
        <v>1</v>
      </c>
    </row>
    <row r="19" spans="1:12" x14ac:dyDescent="0.25">
      <c r="A19" s="100" t="s">
        <v>37</v>
      </c>
      <c r="B19" s="100" t="s">
        <v>38</v>
      </c>
      <c r="C19" s="100" t="s">
        <v>30</v>
      </c>
      <c r="D19" s="101">
        <v>202798.24999999991</v>
      </c>
      <c r="E19" s="101">
        <v>198291.62222222213</v>
      </c>
      <c r="F19" s="102" t="s">
        <v>191</v>
      </c>
      <c r="G19" s="101">
        <v>198291.62222222213</v>
      </c>
      <c r="H19" s="102" t="s">
        <v>191</v>
      </c>
      <c r="I19" s="101">
        <v>198291.62222222213</v>
      </c>
      <c r="J19" s="102" t="s">
        <v>191</v>
      </c>
      <c r="K19" s="101">
        <v>0</v>
      </c>
      <c r="L19" s="102">
        <v>0</v>
      </c>
    </row>
    <row r="20" spans="1:12" ht="45" x14ac:dyDescent="0.25">
      <c r="A20" s="100" t="s">
        <v>37</v>
      </c>
      <c r="B20" s="100" t="s">
        <v>98</v>
      </c>
      <c r="C20" s="100" t="s">
        <v>40</v>
      </c>
      <c r="D20" s="101">
        <v>14225.697777777767</v>
      </c>
      <c r="E20" s="101">
        <v>14225.697777777767</v>
      </c>
      <c r="F20" s="102" t="s">
        <v>186</v>
      </c>
      <c r="G20" s="101">
        <v>14225.697777777767</v>
      </c>
      <c r="H20" s="102" t="s">
        <v>186</v>
      </c>
      <c r="I20" s="101">
        <v>14225.697777777767</v>
      </c>
      <c r="J20" s="102" t="s">
        <v>186</v>
      </c>
      <c r="K20" s="101">
        <v>14225.697777777767</v>
      </c>
      <c r="L20" s="102">
        <v>1</v>
      </c>
    </row>
    <row r="21" spans="1:12" x14ac:dyDescent="0.25">
      <c r="A21" s="100" t="s">
        <v>37</v>
      </c>
      <c r="B21" s="100" t="s">
        <v>39</v>
      </c>
      <c r="C21" s="100" t="s">
        <v>41</v>
      </c>
      <c r="D21" s="101">
        <v>33786.032222222195</v>
      </c>
      <c r="E21" s="101">
        <v>33786.032222222195</v>
      </c>
      <c r="F21" s="102" t="s">
        <v>186</v>
      </c>
      <c r="G21" s="101">
        <v>33786.032222222195</v>
      </c>
      <c r="H21" s="102" t="s">
        <v>186</v>
      </c>
      <c r="I21" s="101">
        <v>33786.032222222195</v>
      </c>
      <c r="J21" s="102" t="s">
        <v>186</v>
      </c>
      <c r="K21" s="101">
        <v>33786.032222222195</v>
      </c>
      <c r="L21" s="102">
        <v>1</v>
      </c>
    </row>
    <row r="22" spans="1:12" x14ac:dyDescent="0.25">
      <c r="A22" s="100" t="s">
        <v>48</v>
      </c>
      <c r="B22" s="100" t="s">
        <v>50</v>
      </c>
      <c r="C22" s="100" t="s">
        <v>30</v>
      </c>
      <c r="D22" s="101">
        <v>197930.57800000015</v>
      </c>
      <c r="E22" s="101">
        <v>197930.57800000015</v>
      </c>
      <c r="F22" s="102" t="s">
        <v>186</v>
      </c>
      <c r="G22" s="101">
        <v>197930.57800000015</v>
      </c>
      <c r="H22" s="102" t="s">
        <v>186</v>
      </c>
      <c r="I22" s="101">
        <v>197930.57800000015</v>
      </c>
      <c r="J22" s="102" t="s">
        <v>186</v>
      </c>
      <c r="K22" s="101">
        <v>197930.57800000015</v>
      </c>
      <c r="L22" s="102">
        <v>1</v>
      </c>
    </row>
    <row r="23" spans="1:12" ht="45" x14ac:dyDescent="0.25">
      <c r="A23" s="100" t="s">
        <v>48</v>
      </c>
      <c r="B23" s="100" t="s">
        <v>99</v>
      </c>
      <c r="C23" s="100" t="s">
        <v>40</v>
      </c>
      <c r="D23" s="101">
        <v>48039.180472087894</v>
      </c>
      <c r="E23" s="101">
        <v>48039.180472087894</v>
      </c>
      <c r="F23" s="102" t="s">
        <v>186</v>
      </c>
      <c r="G23" s="101">
        <v>48039.180472087894</v>
      </c>
      <c r="H23" s="102" t="s">
        <v>186</v>
      </c>
      <c r="I23" s="101">
        <v>48039.180472087894</v>
      </c>
      <c r="J23" s="102" t="s">
        <v>186</v>
      </c>
      <c r="K23" s="101">
        <v>48039.180472087894</v>
      </c>
      <c r="L23" s="102">
        <v>1</v>
      </c>
    </row>
    <row r="24" spans="1:12" x14ac:dyDescent="0.25">
      <c r="A24" s="100" t="s">
        <v>48</v>
      </c>
      <c r="B24" s="100" t="s">
        <v>49</v>
      </c>
      <c r="C24" s="100" t="s">
        <v>41</v>
      </c>
      <c r="D24" s="101">
        <v>113870.65000791205</v>
      </c>
      <c r="E24" s="101">
        <v>113870.65000791205</v>
      </c>
      <c r="F24" s="102" t="s">
        <v>186</v>
      </c>
      <c r="G24" s="101">
        <v>113870.65000791205</v>
      </c>
      <c r="H24" s="102" t="s">
        <v>186</v>
      </c>
      <c r="I24" s="101">
        <v>113870.65000791205</v>
      </c>
      <c r="J24" s="102" t="s">
        <v>186</v>
      </c>
      <c r="K24" s="101">
        <v>113870.65000791205</v>
      </c>
      <c r="L24" s="102">
        <v>1</v>
      </c>
    </row>
    <row r="25" spans="1:12" x14ac:dyDescent="0.25">
      <c r="A25" s="100" t="s">
        <v>48</v>
      </c>
      <c r="B25" s="100" t="s">
        <v>53</v>
      </c>
      <c r="C25" s="100" t="s">
        <v>30</v>
      </c>
      <c r="D25" s="101">
        <v>38583.482900000025</v>
      </c>
      <c r="E25" s="101">
        <v>38583.482900000025</v>
      </c>
      <c r="F25" s="102" t="s">
        <v>186</v>
      </c>
      <c r="G25" s="101">
        <v>38583.482900000025</v>
      </c>
      <c r="H25" s="102" t="s">
        <v>186</v>
      </c>
      <c r="I25" s="101">
        <v>38583.482900000025</v>
      </c>
      <c r="J25" s="102" t="s">
        <v>186</v>
      </c>
      <c r="K25" s="101">
        <v>38583.482900000025</v>
      </c>
      <c r="L25" s="102">
        <v>1</v>
      </c>
    </row>
    <row r="26" spans="1:12" x14ac:dyDescent="0.25">
      <c r="A26" s="100" t="s">
        <v>42</v>
      </c>
      <c r="B26" s="100" t="s">
        <v>43</v>
      </c>
      <c r="C26" s="100" t="s">
        <v>30</v>
      </c>
      <c r="D26" s="101">
        <v>117331.45999999999</v>
      </c>
      <c r="E26" s="101">
        <v>117331.45999999999</v>
      </c>
      <c r="F26" s="102" t="s">
        <v>186</v>
      </c>
      <c r="G26" s="101">
        <v>117331.45999999999</v>
      </c>
      <c r="H26" s="102" t="s">
        <v>186</v>
      </c>
      <c r="I26" s="101">
        <v>117331.45999999999</v>
      </c>
      <c r="J26" s="102" t="s">
        <v>186</v>
      </c>
      <c r="K26" s="101">
        <v>117331.45999999999</v>
      </c>
      <c r="L26" s="102">
        <v>1</v>
      </c>
    </row>
    <row r="27" spans="1:12" ht="45" x14ac:dyDescent="0.25">
      <c r="A27" s="100" t="s">
        <v>42</v>
      </c>
      <c r="B27" s="100" t="s">
        <v>100</v>
      </c>
      <c r="C27" s="100" t="s">
        <v>40</v>
      </c>
      <c r="D27" s="101">
        <v>31371.858461538464</v>
      </c>
      <c r="E27" s="101">
        <v>31371.858461538464</v>
      </c>
      <c r="F27" s="102" t="s">
        <v>186</v>
      </c>
      <c r="G27" s="101">
        <v>31371.858461538464</v>
      </c>
      <c r="H27" s="102" t="s">
        <v>186</v>
      </c>
      <c r="I27" s="101">
        <v>31371.858461538464</v>
      </c>
      <c r="J27" s="102" t="s">
        <v>186</v>
      </c>
      <c r="K27" s="101">
        <v>31371.858461538464</v>
      </c>
      <c r="L27" s="102">
        <v>1</v>
      </c>
    </row>
    <row r="28" spans="1:12" x14ac:dyDescent="0.25">
      <c r="A28" s="100" t="s">
        <v>42</v>
      </c>
      <c r="B28" s="100" t="s">
        <v>44</v>
      </c>
      <c r="C28" s="100" t="s">
        <v>41</v>
      </c>
      <c r="D28" s="101">
        <v>53593.591538461544</v>
      </c>
      <c r="E28" s="101">
        <v>53593.591538461544</v>
      </c>
      <c r="F28" s="102" t="s">
        <v>186</v>
      </c>
      <c r="G28" s="101">
        <v>53593.591538461544</v>
      </c>
      <c r="H28" s="102" t="s">
        <v>186</v>
      </c>
      <c r="I28" s="101">
        <v>53593.591538461544</v>
      </c>
      <c r="J28" s="102" t="s">
        <v>186</v>
      </c>
      <c r="K28" s="101">
        <v>53593.591538461544</v>
      </c>
      <c r="L28" s="102">
        <v>1</v>
      </c>
    </row>
    <row r="29" spans="1:12" ht="45" x14ac:dyDescent="0.25">
      <c r="A29" s="100" t="s">
        <v>42</v>
      </c>
      <c r="B29" s="100" t="s">
        <v>156</v>
      </c>
      <c r="C29" s="100" t="s">
        <v>157</v>
      </c>
      <c r="D29" s="101">
        <v>18310.153273878263</v>
      </c>
      <c r="E29" s="101">
        <v>18310.153273878263</v>
      </c>
      <c r="F29" s="102" t="s">
        <v>186</v>
      </c>
      <c r="G29" s="101">
        <v>18310.153273878263</v>
      </c>
      <c r="H29" s="102" t="s">
        <v>186</v>
      </c>
      <c r="I29" s="101">
        <v>18310.153273878263</v>
      </c>
      <c r="J29" s="102" t="s">
        <v>186</v>
      </c>
      <c r="K29" s="101">
        <v>18310.153273878263</v>
      </c>
      <c r="L29" s="102">
        <v>1</v>
      </c>
    </row>
    <row r="30" spans="1:12" x14ac:dyDescent="0.25">
      <c r="A30" s="100" t="s">
        <v>42</v>
      </c>
      <c r="B30" s="100" t="s">
        <v>45</v>
      </c>
      <c r="C30" s="100" t="s">
        <v>46</v>
      </c>
      <c r="D30" s="101">
        <v>26811.295865321739</v>
      </c>
      <c r="E30" s="101">
        <v>26811.295865321739</v>
      </c>
      <c r="F30" s="102" t="s">
        <v>186</v>
      </c>
      <c r="G30" s="101">
        <v>26811.295865321739</v>
      </c>
      <c r="H30" s="102" t="s">
        <v>186</v>
      </c>
      <c r="I30" s="101">
        <v>26811.295865321739</v>
      </c>
      <c r="J30" s="102" t="s">
        <v>186</v>
      </c>
      <c r="K30" s="101">
        <v>26811.295865321739</v>
      </c>
      <c r="L30" s="102">
        <v>1</v>
      </c>
    </row>
    <row r="31" spans="1:12" x14ac:dyDescent="0.25">
      <c r="A31" s="100" t="s">
        <v>42</v>
      </c>
      <c r="B31" s="100" t="s">
        <v>92</v>
      </c>
      <c r="C31" s="100" t="s">
        <v>30</v>
      </c>
      <c r="D31" s="101">
        <v>19379.126958333338</v>
      </c>
      <c r="E31" s="101">
        <v>19379.126958333338</v>
      </c>
      <c r="F31" s="102" t="s">
        <v>186</v>
      </c>
      <c r="G31" s="101">
        <v>19379.126958333338</v>
      </c>
      <c r="H31" s="102" t="s">
        <v>186</v>
      </c>
      <c r="I31" s="101">
        <v>19379.126958333338</v>
      </c>
      <c r="J31" s="102" t="s">
        <v>186</v>
      </c>
      <c r="K31" s="101">
        <v>19379.126958333338</v>
      </c>
      <c r="L31" s="102">
        <v>1</v>
      </c>
    </row>
    <row r="32" spans="1:12" x14ac:dyDescent="0.25">
      <c r="A32" s="100" t="s">
        <v>42</v>
      </c>
      <c r="B32" s="100" t="s">
        <v>158</v>
      </c>
      <c r="C32" s="100" t="s">
        <v>30</v>
      </c>
      <c r="D32" s="101">
        <v>3875.8253916666677</v>
      </c>
      <c r="E32" s="101">
        <v>3875.8253916666677</v>
      </c>
      <c r="F32" s="102" t="s">
        <v>186</v>
      </c>
      <c r="G32" s="101">
        <v>3875.8253916666677</v>
      </c>
      <c r="H32" s="102" t="s">
        <v>186</v>
      </c>
      <c r="I32" s="101">
        <v>3875.8253916666677</v>
      </c>
      <c r="J32" s="102" t="s">
        <v>186</v>
      </c>
      <c r="K32" s="101">
        <v>3875.8253916666677</v>
      </c>
      <c r="L32" s="102">
        <v>1</v>
      </c>
    </row>
    <row r="33" spans="1:12" x14ac:dyDescent="0.25">
      <c r="A33" s="100" t="s">
        <v>47</v>
      </c>
      <c r="B33" s="100" t="s">
        <v>47</v>
      </c>
      <c r="C33" s="100" t="s">
        <v>30</v>
      </c>
      <c r="D33" s="101">
        <v>231366.75872000019</v>
      </c>
      <c r="E33" s="101">
        <v>231366.75872000019</v>
      </c>
      <c r="F33" s="102" t="s">
        <v>186</v>
      </c>
      <c r="G33" s="101">
        <v>231366.75872000019</v>
      </c>
      <c r="H33" s="102" t="s">
        <v>186</v>
      </c>
      <c r="I33" s="101">
        <v>231366.75872000019</v>
      </c>
      <c r="J33" s="102" t="s">
        <v>186</v>
      </c>
      <c r="K33" s="101">
        <v>231366.75872000019</v>
      </c>
      <c r="L33" s="102">
        <v>1</v>
      </c>
    </row>
    <row r="34" spans="1:12" ht="45" x14ac:dyDescent="0.25">
      <c r="A34" s="100" t="s">
        <v>51</v>
      </c>
      <c r="B34" s="100" t="s">
        <v>73</v>
      </c>
      <c r="C34" s="100" t="s">
        <v>159</v>
      </c>
      <c r="D34" s="101">
        <v>60975.073548387059</v>
      </c>
      <c r="E34" s="101">
        <v>60975.073548387059</v>
      </c>
      <c r="F34" s="102" t="s">
        <v>186</v>
      </c>
      <c r="G34" s="101">
        <v>60975.073548387059</v>
      </c>
      <c r="H34" s="102" t="s">
        <v>186</v>
      </c>
      <c r="I34" s="101">
        <v>60975.073548387059</v>
      </c>
      <c r="J34" s="102" t="s">
        <v>186</v>
      </c>
      <c r="K34" s="101">
        <v>0</v>
      </c>
      <c r="L34" s="102">
        <v>0</v>
      </c>
    </row>
    <row r="35" spans="1:12" ht="45" x14ac:dyDescent="0.25">
      <c r="A35" s="100" t="s">
        <v>51</v>
      </c>
      <c r="B35" s="100" t="s">
        <v>73</v>
      </c>
      <c r="C35" s="100" t="s">
        <v>160</v>
      </c>
      <c r="D35" s="101">
        <v>46627.997419354811</v>
      </c>
      <c r="E35" s="101">
        <v>32280.92129032256</v>
      </c>
      <c r="F35" s="102" t="s">
        <v>192</v>
      </c>
      <c r="G35" s="101">
        <v>32280.92129032256</v>
      </c>
      <c r="H35" s="102" t="s">
        <v>192</v>
      </c>
      <c r="I35" s="101">
        <v>28694.1522580645</v>
      </c>
      <c r="J35" s="102" t="s">
        <v>193</v>
      </c>
      <c r="K35" s="101">
        <v>0</v>
      </c>
      <c r="L35" s="102">
        <v>0</v>
      </c>
    </row>
    <row r="36" spans="1:12" ht="45" x14ac:dyDescent="0.25">
      <c r="A36" s="100" t="s">
        <v>51</v>
      </c>
      <c r="B36" s="100" t="s">
        <v>73</v>
      </c>
      <c r="C36" s="100" t="s">
        <v>161</v>
      </c>
      <c r="D36" s="101">
        <v>3586.7690322580625</v>
      </c>
      <c r="E36" s="101">
        <v>3586.7690322580625</v>
      </c>
      <c r="F36" s="102" t="s">
        <v>186</v>
      </c>
      <c r="G36" s="101">
        <v>3586.7690322580625</v>
      </c>
      <c r="H36" s="102" t="s">
        <v>186</v>
      </c>
      <c r="I36" s="101">
        <v>0</v>
      </c>
      <c r="J36" s="102" t="s">
        <v>187</v>
      </c>
      <c r="K36" s="101">
        <v>0</v>
      </c>
      <c r="L36" s="102">
        <v>0</v>
      </c>
    </row>
    <row r="37" spans="1:12" ht="45" x14ac:dyDescent="0.25">
      <c r="A37" s="100" t="s">
        <v>51</v>
      </c>
      <c r="B37" s="100" t="s">
        <v>72</v>
      </c>
      <c r="C37" s="100" t="s">
        <v>159</v>
      </c>
      <c r="D37" s="101">
        <v>56297.169999999955</v>
      </c>
      <c r="E37" s="101">
        <v>56297.169999999955</v>
      </c>
      <c r="F37" s="102" t="s">
        <v>186</v>
      </c>
      <c r="G37" s="101">
        <v>56297.169999999955</v>
      </c>
      <c r="H37" s="102" t="s">
        <v>186</v>
      </c>
      <c r="I37" s="101">
        <v>56297.169999999955</v>
      </c>
      <c r="J37" s="102" t="s">
        <v>186</v>
      </c>
      <c r="K37" s="101">
        <v>56297.169999999955</v>
      </c>
      <c r="L37" s="102">
        <v>1</v>
      </c>
    </row>
    <row r="38" spans="1:12" ht="45" x14ac:dyDescent="0.25">
      <c r="A38" s="100" t="s">
        <v>51</v>
      </c>
      <c r="B38" s="100" t="s">
        <v>72</v>
      </c>
      <c r="C38" s="100" t="s">
        <v>160</v>
      </c>
      <c r="D38" s="101">
        <v>56297.169999999955</v>
      </c>
      <c r="E38" s="101">
        <v>56297.169999999955</v>
      </c>
      <c r="F38" s="102" t="s">
        <v>186</v>
      </c>
      <c r="G38" s="101">
        <v>56297.169999999955</v>
      </c>
      <c r="H38" s="102" t="s">
        <v>186</v>
      </c>
      <c r="I38" s="101">
        <v>56297.169999999955</v>
      </c>
      <c r="J38" s="102" t="s">
        <v>186</v>
      </c>
      <c r="K38" s="101">
        <v>56297.169999999955</v>
      </c>
      <c r="L38" s="102">
        <v>1</v>
      </c>
    </row>
    <row r="39" spans="1:12" ht="45" x14ac:dyDescent="0.25">
      <c r="A39" s="100" t="s">
        <v>51</v>
      </c>
      <c r="B39" s="100" t="s">
        <v>69</v>
      </c>
      <c r="C39" s="100" t="s">
        <v>160</v>
      </c>
      <c r="D39" s="101">
        <v>51802.619999999923</v>
      </c>
      <c r="E39" s="101">
        <v>51802.619999999923</v>
      </c>
      <c r="F39" s="102" t="s">
        <v>186</v>
      </c>
      <c r="G39" s="101">
        <v>51802.619999999923</v>
      </c>
      <c r="H39" s="102" t="s">
        <v>186</v>
      </c>
      <c r="I39" s="101">
        <v>51802.619999999923</v>
      </c>
      <c r="J39" s="102" t="s">
        <v>186</v>
      </c>
      <c r="K39" s="101">
        <v>51802.619999999923</v>
      </c>
      <c r="L39" s="102">
        <v>1</v>
      </c>
    </row>
    <row r="40" spans="1:12" ht="45" x14ac:dyDescent="0.25">
      <c r="A40" s="100" t="s">
        <v>51</v>
      </c>
      <c r="B40" s="100" t="s">
        <v>69</v>
      </c>
      <c r="C40" s="100" t="s">
        <v>159</v>
      </c>
      <c r="D40" s="101">
        <v>51802.619999999923</v>
      </c>
      <c r="E40" s="101">
        <v>51802.619999999923</v>
      </c>
      <c r="F40" s="102" t="s">
        <v>186</v>
      </c>
      <c r="G40" s="101">
        <v>51802.619999999923</v>
      </c>
      <c r="H40" s="102" t="s">
        <v>186</v>
      </c>
      <c r="I40" s="101">
        <v>51802.619999999923</v>
      </c>
      <c r="J40" s="102" t="s">
        <v>186</v>
      </c>
      <c r="K40" s="101">
        <v>51802.619999999923</v>
      </c>
      <c r="L40" s="102">
        <v>1</v>
      </c>
    </row>
    <row r="41" spans="1:12" ht="45" x14ac:dyDescent="0.25">
      <c r="A41" s="100" t="s">
        <v>51</v>
      </c>
      <c r="B41" s="100" t="s">
        <v>68</v>
      </c>
      <c r="C41" s="100" t="s">
        <v>160</v>
      </c>
      <c r="D41" s="101">
        <v>5995.3162499999999</v>
      </c>
      <c r="E41" s="101">
        <v>5995.3162499999999</v>
      </c>
      <c r="F41" s="102" t="s">
        <v>186</v>
      </c>
      <c r="G41" s="101">
        <v>5995.3162499999999</v>
      </c>
      <c r="H41" s="102" t="s">
        <v>186</v>
      </c>
      <c r="I41" s="101">
        <v>5995.3162499999999</v>
      </c>
      <c r="J41" s="102" t="s">
        <v>186</v>
      </c>
      <c r="K41" s="101">
        <v>5995.3162499999999</v>
      </c>
      <c r="L41" s="102">
        <v>1</v>
      </c>
    </row>
    <row r="42" spans="1:12" ht="45" x14ac:dyDescent="0.25">
      <c r="A42" s="100" t="s">
        <v>51</v>
      </c>
      <c r="B42" s="100" t="s">
        <v>68</v>
      </c>
      <c r="C42" s="100" t="s">
        <v>159</v>
      </c>
      <c r="D42" s="101">
        <v>89929.743749999994</v>
      </c>
      <c r="E42" s="101">
        <v>89929.743749999994</v>
      </c>
      <c r="F42" s="102" t="s">
        <v>186</v>
      </c>
      <c r="G42" s="101">
        <v>89929.743749999994</v>
      </c>
      <c r="H42" s="102" t="s">
        <v>186</v>
      </c>
      <c r="I42" s="101">
        <v>89929.743749999994</v>
      </c>
      <c r="J42" s="102" t="s">
        <v>186</v>
      </c>
      <c r="K42" s="101">
        <v>89929.743749999994</v>
      </c>
      <c r="L42" s="102">
        <v>1</v>
      </c>
    </row>
    <row r="43" spans="1:12" ht="45" x14ac:dyDescent="0.25">
      <c r="A43" s="100" t="s">
        <v>51</v>
      </c>
      <c r="B43" s="100" t="s">
        <v>60</v>
      </c>
      <c r="C43" s="100" t="s">
        <v>160</v>
      </c>
      <c r="D43" s="101">
        <v>11684.041463414633</v>
      </c>
      <c r="E43" s="101">
        <v>11684.041463414633</v>
      </c>
      <c r="F43" s="102" t="s">
        <v>186</v>
      </c>
      <c r="G43" s="101">
        <v>11684.041463414633</v>
      </c>
      <c r="H43" s="102" t="s">
        <v>186</v>
      </c>
      <c r="I43" s="101">
        <v>11684.041463414633</v>
      </c>
      <c r="J43" s="102" t="s">
        <v>186</v>
      </c>
      <c r="K43" s="101">
        <v>11684.041463414633</v>
      </c>
      <c r="L43" s="102">
        <v>1</v>
      </c>
    </row>
    <row r="44" spans="1:12" ht="45" x14ac:dyDescent="0.25">
      <c r="A44" s="100" t="s">
        <v>51</v>
      </c>
      <c r="B44" s="100" t="s">
        <v>60</v>
      </c>
      <c r="C44" s="100" t="s">
        <v>159</v>
      </c>
      <c r="D44" s="101">
        <v>84125.098536585356</v>
      </c>
      <c r="E44" s="101">
        <v>84125.098536585356</v>
      </c>
      <c r="F44" s="102" t="s">
        <v>186</v>
      </c>
      <c r="G44" s="101">
        <v>84125.098536585356</v>
      </c>
      <c r="H44" s="102" t="s">
        <v>186</v>
      </c>
      <c r="I44" s="101">
        <v>84125.098536585356</v>
      </c>
      <c r="J44" s="102" t="s">
        <v>186</v>
      </c>
      <c r="K44" s="101">
        <v>84125.098536585356</v>
      </c>
      <c r="L44" s="102">
        <v>1</v>
      </c>
    </row>
    <row r="45" spans="1:12" ht="45" x14ac:dyDescent="0.25">
      <c r="A45" s="100" t="s">
        <v>51</v>
      </c>
      <c r="B45" s="100" t="s">
        <v>57</v>
      </c>
      <c r="C45" s="100" t="s">
        <v>160</v>
      </c>
      <c r="D45" s="101">
        <v>2576.4968561729734</v>
      </c>
      <c r="E45" s="101">
        <v>2576.4968561729734</v>
      </c>
      <c r="F45" s="102" t="s">
        <v>186</v>
      </c>
      <c r="G45" s="101">
        <v>2576.4968561729734</v>
      </c>
      <c r="H45" s="102" t="s">
        <v>186</v>
      </c>
      <c r="I45" s="101">
        <v>2576.4968561729734</v>
      </c>
      <c r="J45" s="102" t="s">
        <v>186</v>
      </c>
      <c r="K45" s="101">
        <v>2576.4968561729734</v>
      </c>
      <c r="L45" s="102">
        <v>1</v>
      </c>
    </row>
    <row r="46" spans="1:12" ht="45" x14ac:dyDescent="0.25">
      <c r="A46" s="100" t="s">
        <v>51</v>
      </c>
      <c r="B46" s="100" t="s">
        <v>57</v>
      </c>
      <c r="C46" s="100" t="s">
        <v>159</v>
      </c>
      <c r="D46" s="101">
        <v>92753.886822227039</v>
      </c>
      <c r="E46" s="101">
        <v>92753.886822227039</v>
      </c>
      <c r="F46" s="102" t="s">
        <v>186</v>
      </c>
      <c r="G46" s="101">
        <v>92753.886822227039</v>
      </c>
      <c r="H46" s="102" t="s">
        <v>186</v>
      </c>
      <c r="I46" s="101">
        <v>92753.886822227039</v>
      </c>
      <c r="J46" s="102" t="s">
        <v>186</v>
      </c>
      <c r="K46" s="101">
        <v>92753.886822227039</v>
      </c>
      <c r="L46" s="102">
        <v>1</v>
      </c>
    </row>
    <row r="47" spans="1:12" ht="45" x14ac:dyDescent="0.25">
      <c r="A47" s="100" t="s">
        <v>51</v>
      </c>
      <c r="B47" s="100" t="s">
        <v>55</v>
      </c>
      <c r="C47" s="100" t="s">
        <v>160</v>
      </c>
      <c r="D47" s="101">
        <v>1464.6864130434785</v>
      </c>
      <c r="E47" s="101">
        <v>1464.6864130434785</v>
      </c>
      <c r="F47" s="102" t="s">
        <v>186</v>
      </c>
      <c r="G47" s="101">
        <v>1464.6864130434785</v>
      </c>
      <c r="H47" s="102" t="s">
        <v>186</v>
      </c>
      <c r="I47" s="101">
        <v>1464.6864130434785</v>
      </c>
      <c r="J47" s="102" t="s">
        <v>186</v>
      </c>
      <c r="K47" s="101">
        <v>1464.6864130434785</v>
      </c>
      <c r="L47" s="102">
        <v>1</v>
      </c>
    </row>
    <row r="48" spans="1:12" ht="45" x14ac:dyDescent="0.25">
      <c r="A48" s="100" t="s">
        <v>51</v>
      </c>
      <c r="B48" s="100" t="s">
        <v>55</v>
      </c>
      <c r="C48" s="100" t="s">
        <v>162</v>
      </c>
      <c r="D48" s="101">
        <v>99598.676086956533</v>
      </c>
      <c r="E48" s="101">
        <v>99598.676086956533</v>
      </c>
      <c r="F48" s="102" t="s">
        <v>186</v>
      </c>
      <c r="G48" s="101">
        <v>99598.676086956533</v>
      </c>
      <c r="H48" s="102" t="s">
        <v>186</v>
      </c>
      <c r="I48" s="101">
        <v>99598.676086956533</v>
      </c>
      <c r="J48" s="102" t="s">
        <v>186</v>
      </c>
      <c r="K48" s="101">
        <v>99598.676086956533</v>
      </c>
      <c r="L48" s="102">
        <v>1</v>
      </c>
    </row>
    <row r="49" spans="1:12" ht="45" x14ac:dyDescent="0.25">
      <c r="A49" s="100" t="s">
        <v>51</v>
      </c>
      <c r="B49" s="100" t="s">
        <v>55</v>
      </c>
      <c r="C49" s="100" t="s">
        <v>159</v>
      </c>
      <c r="D49" s="101">
        <v>33687.787500000006</v>
      </c>
      <c r="E49" s="101">
        <v>33687.787500000006</v>
      </c>
      <c r="F49" s="102" t="s">
        <v>186</v>
      </c>
      <c r="G49" s="101">
        <v>33687.787500000006</v>
      </c>
      <c r="H49" s="102" t="s">
        <v>186</v>
      </c>
      <c r="I49" s="101">
        <v>33687.787500000006</v>
      </c>
      <c r="J49" s="102" t="s">
        <v>186</v>
      </c>
      <c r="K49" s="101">
        <v>33687.787500000006</v>
      </c>
      <c r="L49" s="102">
        <v>1</v>
      </c>
    </row>
    <row r="50" spans="1:12" ht="45" x14ac:dyDescent="0.25">
      <c r="A50" s="100" t="s">
        <v>51</v>
      </c>
      <c r="B50" s="100" t="s">
        <v>52</v>
      </c>
      <c r="C50" s="100" t="s">
        <v>163</v>
      </c>
      <c r="D50" s="101">
        <v>1863.7997297297309</v>
      </c>
      <c r="E50" s="101">
        <v>1863.7997297297309</v>
      </c>
      <c r="F50" s="102" t="s">
        <v>186</v>
      </c>
      <c r="G50" s="101">
        <v>1863.7997297297309</v>
      </c>
      <c r="H50" s="102" t="s">
        <v>186</v>
      </c>
      <c r="I50" s="101">
        <v>1863.7997297297309</v>
      </c>
      <c r="J50" s="102" t="s">
        <v>186</v>
      </c>
      <c r="K50" s="101">
        <v>1863.7997297297309</v>
      </c>
      <c r="L50" s="102">
        <v>1</v>
      </c>
    </row>
    <row r="51" spans="1:12" ht="45" x14ac:dyDescent="0.25">
      <c r="A51" s="100" t="s">
        <v>51</v>
      </c>
      <c r="B51" s="100" t="s">
        <v>52</v>
      </c>
      <c r="C51" s="100" t="s">
        <v>159</v>
      </c>
      <c r="D51" s="101">
        <v>67096.790270270314</v>
      </c>
      <c r="E51" s="101">
        <v>67096.790270270314</v>
      </c>
      <c r="F51" s="102" t="s">
        <v>186</v>
      </c>
      <c r="G51" s="101">
        <v>67096.790270270314</v>
      </c>
      <c r="H51" s="102" t="s">
        <v>186</v>
      </c>
      <c r="I51" s="101">
        <v>67096.790270270314</v>
      </c>
      <c r="J51" s="102" t="s">
        <v>186</v>
      </c>
      <c r="K51" s="101">
        <v>67096.790270270314</v>
      </c>
      <c r="L51" s="102">
        <v>1</v>
      </c>
    </row>
    <row r="52" spans="1:12" ht="45" x14ac:dyDescent="0.25">
      <c r="A52" s="100" t="s">
        <v>54</v>
      </c>
      <c r="B52" s="100" t="s">
        <v>62</v>
      </c>
      <c r="C52" s="100" t="s">
        <v>165</v>
      </c>
      <c r="D52" s="101">
        <v>19860.13461538461</v>
      </c>
      <c r="E52" s="101">
        <v>7944.0538461538445</v>
      </c>
      <c r="F52" s="102" t="s">
        <v>197</v>
      </c>
      <c r="G52" s="101">
        <v>0</v>
      </c>
      <c r="H52" s="102" t="s">
        <v>187</v>
      </c>
      <c r="I52" s="101">
        <v>0</v>
      </c>
      <c r="J52" s="102" t="s">
        <v>187</v>
      </c>
      <c r="K52" s="101">
        <v>0</v>
      </c>
      <c r="L52" s="102">
        <v>0</v>
      </c>
    </row>
    <row r="53" spans="1:12" ht="45" x14ac:dyDescent="0.25">
      <c r="A53" s="100" t="s">
        <v>54</v>
      </c>
      <c r="B53" s="100" t="s">
        <v>62</v>
      </c>
      <c r="C53" s="100" t="s">
        <v>164</v>
      </c>
      <c r="D53" s="101">
        <v>83412.565384615358</v>
      </c>
      <c r="E53" s="101">
        <v>75468.51153846152</v>
      </c>
      <c r="F53" s="102" t="s">
        <v>194</v>
      </c>
      <c r="G53" s="101">
        <v>43692.296153846139</v>
      </c>
      <c r="H53" s="102" t="s">
        <v>195</v>
      </c>
      <c r="I53" s="101">
        <v>35748.242307692293</v>
      </c>
      <c r="J53" s="102" t="s">
        <v>196</v>
      </c>
      <c r="K53" s="101">
        <v>0</v>
      </c>
      <c r="L53" s="102">
        <v>0</v>
      </c>
    </row>
    <row r="54" spans="1:12" ht="45" x14ac:dyDescent="0.25">
      <c r="A54" s="100" t="s">
        <v>54</v>
      </c>
      <c r="B54" s="100" t="s">
        <v>64</v>
      </c>
      <c r="C54" s="100" t="s">
        <v>165</v>
      </c>
      <c r="D54" s="101">
        <v>35456.976296296292</v>
      </c>
      <c r="E54" s="101">
        <v>32233.61481481481</v>
      </c>
      <c r="F54" s="102" t="s">
        <v>199</v>
      </c>
      <c r="G54" s="101">
        <v>32233.61481481481</v>
      </c>
      <c r="H54" s="102" t="s">
        <v>199</v>
      </c>
      <c r="I54" s="101">
        <v>32233.61481481481</v>
      </c>
      <c r="J54" s="102" t="s">
        <v>199</v>
      </c>
      <c r="K54" s="101">
        <v>0</v>
      </c>
      <c r="L54" s="102">
        <v>0</v>
      </c>
    </row>
    <row r="55" spans="1:12" ht="45" x14ac:dyDescent="0.25">
      <c r="A55" s="100" t="s">
        <v>54</v>
      </c>
      <c r="B55" s="100" t="s">
        <v>64</v>
      </c>
      <c r="C55" s="100" t="s">
        <v>164</v>
      </c>
      <c r="D55" s="101">
        <v>51573.783703703702</v>
      </c>
      <c r="E55" s="101">
        <v>51573.783703703702</v>
      </c>
      <c r="F55" s="102" t="s">
        <v>186</v>
      </c>
      <c r="G55" s="101">
        <v>51573.783703703702</v>
      </c>
      <c r="H55" s="102" t="s">
        <v>186</v>
      </c>
      <c r="I55" s="101">
        <v>51573.783703703702</v>
      </c>
      <c r="J55" s="102" t="s">
        <v>186</v>
      </c>
      <c r="K55" s="101">
        <v>0</v>
      </c>
      <c r="L55" s="102">
        <v>0</v>
      </c>
    </row>
    <row r="56" spans="1:12" ht="45" x14ac:dyDescent="0.25">
      <c r="A56" s="100" t="s">
        <v>54</v>
      </c>
      <c r="B56" s="100" t="s">
        <v>71</v>
      </c>
      <c r="C56" s="100" t="s">
        <v>164</v>
      </c>
      <c r="D56" s="101">
        <v>82046.400000000009</v>
      </c>
      <c r="E56" s="101">
        <v>82046.400000000009</v>
      </c>
      <c r="F56" s="102" t="s">
        <v>186</v>
      </c>
      <c r="G56" s="101">
        <v>82046.400000000009</v>
      </c>
      <c r="H56" s="102" t="s">
        <v>186</v>
      </c>
      <c r="I56" s="101">
        <v>82046.400000000009</v>
      </c>
      <c r="J56" s="102" t="s">
        <v>186</v>
      </c>
      <c r="K56" s="101">
        <v>82046.400000000009</v>
      </c>
      <c r="L56" s="102">
        <v>1</v>
      </c>
    </row>
    <row r="57" spans="1:12" ht="45" x14ac:dyDescent="0.25">
      <c r="A57" s="100" t="s">
        <v>54</v>
      </c>
      <c r="B57" s="100" t="s">
        <v>75</v>
      </c>
      <c r="C57" s="100" t="s">
        <v>164</v>
      </c>
      <c r="D57" s="101">
        <v>80497.16</v>
      </c>
      <c r="E57" s="101">
        <v>80497.16</v>
      </c>
      <c r="F57" s="102" t="s">
        <v>186</v>
      </c>
      <c r="G57" s="101">
        <v>80497.16</v>
      </c>
      <c r="H57" s="102" t="s">
        <v>186</v>
      </c>
      <c r="I57" s="101">
        <v>80497.16</v>
      </c>
      <c r="J57" s="102" t="s">
        <v>186</v>
      </c>
      <c r="K57" s="101">
        <v>80497.16</v>
      </c>
      <c r="L57" s="102">
        <v>1</v>
      </c>
    </row>
    <row r="58" spans="1:12" ht="45" x14ac:dyDescent="0.25">
      <c r="A58" s="100" t="s">
        <v>54</v>
      </c>
      <c r="B58" s="100" t="s">
        <v>81</v>
      </c>
      <c r="C58" s="100" t="s">
        <v>165</v>
      </c>
      <c r="D58" s="101">
        <v>89010.219999999987</v>
      </c>
      <c r="E58" s="101">
        <v>89010.219999999987</v>
      </c>
      <c r="F58" s="102" t="s">
        <v>186</v>
      </c>
      <c r="G58" s="101">
        <v>89010.219999999987</v>
      </c>
      <c r="H58" s="102" t="s">
        <v>186</v>
      </c>
      <c r="I58" s="101">
        <v>89010.219999999987</v>
      </c>
      <c r="J58" s="102" t="s">
        <v>186</v>
      </c>
      <c r="K58" s="101">
        <v>89010.219999999987</v>
      </c>
      <c r="L58" s="102">
        <v>1</v>
      </c>
    </row>
    <row r="59" spans="1:12" ht="45" x14ac:dyDescent="0.25">
      <c r="A59" s="100" t="s">
        <v>54</v>
      </c>
      <c r="B59" s="100" t="s">
        <v>85</v>
      </c>
      <c r="C59" s="100" t="s">
        <v>165</v>
      </c>
      <c r="D59" s="101">
        <v>88239.10000000002</v>
      </c>
      <c r="E59" s="101">
        <v>88239.10000000002</v>
      </c>
      <c r="F59" s="102" t="s">
        <v>186</v>
      </c>
      <c r="G59" s="101">
        <v>88239.10000000002</v>
      </c>
      <c r="H59" s="102" t="s">
        <v>186</v>
      </c>
      <c r="I59" s="101">
        <v>88239.10000000002</v>
      </c>
      <c r="J59" s="102" t="s">
        <v>186</v>
      </c>
      <c r="K59" s="101">
        <v>88239.10000000002</v>
      </c>
      <c r="L59" s="102">
        <v>1</v>
      </c>
    </row>
    <row r="60" spans="1:12" ht="45" x14ac:dyDescent="0.25">
      <c r="A60" s="100" t="s">
        <v>54</v>
      </c>
      <c r="B60" s="100" t="s">
        <v>86</v>
      </c>
      <c r="C60" s="100" t="s">
        <v>164</v>
      </c>
      <c r="D60" s="101">
        <v>20377.497966666666</v>
      </c>
      <c r="E60" s="101">
        <v>3396.249661111111</v>
      </c>
      <c r="F60" s="102" t="s">
        <v>205</v>
      </c>
      <c r="G60" s="101">
        <v>0</v>
      </c>
      <c r="H60" s="102" t="s">
        <v>187</v>
      </c>
      <c r="I60" s="101">
        <v>0</v>
      </c>
      <c r="J60" s="102" t="s">
        <v>187</v>
      </c>
      <c r="K60" s="101">
        <v>0</v>
      </c>
      <c r="L60" s="102">
        <v>0</v>
      </c>
    </row>
    <row r="61" spans="1:12" ht="45" x14ac:dyDescent="0.25">
      <c r="A61" s="100" t="s">
        <v>54</v>
      </c>
      <c r="B61" s="100" t="s">
        <v>86</v>
      </c>
      <c r="C61" s="100" t="s">
        <v>165</v>
      </c>
      <c r="D61" s="101">
        <v>40754.995933333332</v>
      </c>
      <c r="E61" s="101">
        <v>3396.249661111111</v>
      </c>
      <c r="F61" s="102" t="s">
        <v>204</v>
      </c>
      <c r="G61" s="101">
        <v>3396.249661111111</v>
      </c>
      <c r="H61" s="102" t="s">
        <v>204</v>
      </c>
      <c r="I61" s="101">
        <v>0</v>
      </c>
      <c r="J61" s="102" t="s">
        <v>187</v>
      </c>
      <c r="K61" s="101">
        <v>0</v>
      </c>
      <c r="L61" s="102">
        <v>0</v>
      </c>
    </row>
    <row r="62" spans="1:12" ht="45" x14ac:dyDescent="0.25">
      <c r="A62" s="100" t="s">
        <v>54</v>
      </c>
      <c r="B62" s="100" t="s">
        <v>88</v>
      </c>
      <c r="C62" s="100" t="s">
        <v>165</v>
      </c>
      <c r="D62" s="101">
        <v>25147.534760000002</v>
      </c>
      <c r="E62" s="101">
        <v>0</v>
      </c>
      <c r="F62" s="102" t="s">
        <v>187</v>
      </c>
      <c r="G62" s="101">
        <v>0</v>
      </c>
      <c r="H62" s="102" t="s">
        <v>187</v>
      </c>
      <c r="I62" s="101">
        <v>0</v>
      </c>
      <c r="J62" s="102" t="s">
        <v>187</v>
      </c>
      <c r="K62" s="101">
        <v>0</v>
      </c>
      <c r="L62" s="102">
        <v>0</v>
      </c>
    </row>
    <row r="63" spans="1:12" ht="45" x14ac:dyDescent="0.25">
      <c r="A63" s="100" t="s">
        <v>54</v>
      </c>
      <c r="B63" s="100" t="s">
        <v>88</v>
      </c>
      <c r="C63" s="100" t="s">
        <v>164</v>
      </c>
      <c r="D63" s="101">
        <v>37721.30214</v>
      </c>
      <c r="E63" s="101">
        <v>13621.581328333334</v>
      </c>
      <c r="F63" s="102" t="s">
        <v>206</v>
      </c>
      <c r="G63" s="101">
        <v>12573.767379999999</v>
      </c>
      <c r="H63" s="102" t="s">
        <v>207</v>
      </c>
      <c r="I63" s="101">
        <v>9430.3255349999999</v>
      </c>
      <c r="J63" s="102" t="s">
        <v>208</v>
      </c>
      <c r="K63" s="101">
        <v>0</v>
      </c>
      <c r="L63" s="102">
        <v>0</v>
      </c>
    </row>
    <row r="64" spans="1:12" ht="45" x14ac:dyDescent="0.25">
      <c r="A64" s="100" t="s">
        <v>54</v>
      </c>
      <c r="B64" s="100" t="s">
        <v>91</v>
      </c>
      <c r="C64" s="100" t="s">
        <v>165</v>
      </c>
      <c r="D64" s="101">
        <v>25609.453333333335</v>
      </c>
      <c r="E64" s="101">
        <v>0</v>
      </c>
      <c r="F64" s="102" t="s">
        <v>187</v>
      </c>
      <c r="G64" s="101">
        <v>0</v>
      </c>
      <c r="H64" s="102" t="s">
        <v>187</v>
      </c>
      <c r="I64" s="101">
        <v>0</v>
      </c>
      <c r="J64" s="102" t="s">
        <v>187</v>
      </c>
      <c r="K64" s="101">
        <v>0</v>
      </c>
      <c r="L64" s="102">
        <v>0</v>
      </c>
    </row>
    <row r="65" spans="1:12" ht="45" x14ac:dyDescent="0.25">
      <c r="A65" s="100" t="s">
        <v>54</v>
      </c>
      <c r="B65" s="100" t="s">
        <v>91</v>
      </c>
      <c r="C65" s="100" t="s">
        <v>164</v>
      </c>
      <c r="D65" s="101">
        <v>51218.906666666669</v>
      </c>
      <c r="E65" s="101">
        <v>0</v>
      </c>
      <c r="F65" s="102" t="s">
        <v>187</v>
      </c>
      <c r="G65" s="101">
        <v>0</v>
      </c>
      <c r="H65" s="102" t="s">
        <v>187</v>
      </c>
      <c r="I65" s="101">
        <v>0</v>
      </c>
      <c r="J65" s="102" t="s">
        <v>187</v>
      </c>
      <c r="K65" s="101">
        <v>0</v>
      </c>
      <c r="L65" s="102">
        <v>0</v>
      </c>
    </row>
    <row r="66" spans="1:12" ht="30" x14ac:dyDescent="0.25">
      <c r="A66" s="102" t="s">
        <v>114</v>
      </c>
      <c r="B66" s="102" t="s">
        <v>114</v>
      </c>
      <c r="C66" s="102" t="s">
        <v>114</v>
      </c>
      <c r="D66" s="102" t="s">
        <v>209</v>
      </c>
      <c r="E66" s="102" t="s">
        <v>214</v>
      </c>
      <c r="F66" s="102" t="s">
        <v>114</v>
      </c>
      <c r="G66" s="102" t="s">
        <v>215</v>
      </c>
      <c r="H66" s="102" t="s">
        <v>114</v>
      </c>
      <c r="I66" s="102" t="s">
        <v>216</v>
      </c>
      <c r="J66" s="102" t="s">
        <v>114</v>
      </c>
      <c r="K66" s="102" t="s">
        <v>217</v>
      </c>
      <c r="L66" s="102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AD517-B098-48E6-94A9-C4A24D88B678}">
  <dimension ref="A1:L70"/>
  <sheetViews>
    <sheetView topLeftCell="A58" workbookViewId="0">
      <selection activeCell="A2" sqref="A2:L69"/>
    </sheetView>
  </sheetViews>
  <sheetFormatPr defaultRowHeight="15" x14ac:dyDescent="0.25"/>
  <sheetData>
    <row r="1" spans="1:12" x14ac:dyDescent="0.25">
      <c r="A1" s="95" t="s">
        <v>176</v>
      </c>
      <c r="B1" s="95" t="s">
        <v>177</v>
      </c>
      <c r="C1" s="95" t="s">
        <v>178</v>
      </c>
      <c r="D1" s="95" t="s">
        <v>179</v>
      </c>
      <c r="E1" s="95" t="s">
        <v>106</v>
      </c>
      <c r="F1" s="95" t="s">
        <v>180</v>
      </c>
      <c r="G1" s="95" t="s">
        <v>108</v>
      </c>
      <c r="H1" s="95" t="s">
        <v>181</v>
      </c>
      <c r="I1" s="95" t="s">
        <v>182</v>
      </c>
      <c r="J1" s="95" t="s">
        <v>183</v>
      </c>
      <c r="K1" s="95" t="s">
        <v>184</v>
      </c>
      <c r="L1" s="95" t="s">
        <v>185</v>
      </c>
    </row>
    <row r="2" spans="1:12" x14ac:dyDescent="0.25">
      <c r="A2" s="96" t="s">
        <v>54</v>
      </c>
      <c r="B2" s="96" t="s">
        <v>82</v>
      </c>
      <c r="C2" s="96" t="s">
        <v>83</v>
      </c>
      <c r="D2" s="97">
        <v>61696.523999999998</v>
      </c>
      <c r="E2" s="97">
        <v>61696.523999999998</v>
      </c>
      <c r="F2" s="98" t="s">
        <v>186</v>
      </c>
      <c r="G2" s="97">
        <v>61696.523999999998</v>
      </c>
      <c r="H2" s="98" t="s">
        <v>186</v>
      </c>
      <c r="I2" s="97">
        <v>61696.523999999998</v>
      </c>
      <c r="J2" s="98" t="s">
        <v>186</v>
      </c>
      <c r="K2" s="97">
        <v>0</v>
      </c>
      <c r="L2" s="98">
        <v>0</v>
      </c>
    </row>
    <row r="3" spans="1:12" x14ac:dyDescent="0.25">
      <c r="A3" s="96" t="s">
        <v>54</v>
      </c>
      <c r="B3" s="96" t="s">
        <v>84</v>
      </c>
      <c r="C3" s="96" t="s">
        <v>83</v>
      </c>
      <c r="D3" s="97">
        <v>61512.597399999991</v>
      </c>
      <c r="E3" s="97">
        <v>61512.597399999991</v>
      </c>
      <c r="F3" s="98" t="s">
        <v>186</v>
      </c>
      <c r="G3" s="97">
        <v>0</v>
      </c>
      <c r="H3" s="98" t="s">
        <v>187</v>
      </c>
      <c r="I3" s="97">
        <v>0</v>
      </c>
      <c r="J3" s="98" t="s">
        <v>187</v>
      </c>
      <c r="K3" s="97">
        <v>0</v>
      </c>
      <c r="L3" s="98">
        <v>0</v>
      </c>
    </row>
    <row r="4" spans="1:12" x14ac:dyDescent="0.25">
      <c r="A4" s="96" t="s">
        <v>54</v>
      </c>
      <c r="B4" s="96" t="s">
        <v>94</v>
      </c>
      <c r="C4" s="96" t="s">
        <v>101</v>
      </c>
      <c r="D4" s="97">
        <v>116529.74</v>
      </c>
      <c r="E4" s="97">
        <v>58264.87</v>
      </c>
      <c r="F4" s="98" t="s">
        <v>188</v>
      </c>
      <c r="G4" s="97">
        <v>34958.921999999999</v>
      </c>
      <c r="H4" s="98" t="s">
        <v>189</v>
      </c>
      <c r="I4" s="97">
        <v>23305.948000000004</v>
      </c>
      <c r="J4" s="98" t="s">
        <v>190</v>
      </c>
      <c r="K4" s="97">
        <v>0</v>
      </c>
      <c r="L4" s="98">
        <v>0</v>
      </c>
    </row>
    <row r="5" spans="1:12" ht="30" x14ac:dyDescent="0.25">
      <c r="A5" s="96" t="s">
        <v>54</v>
      </c>
      <c r="B5" s="96" t="s">
        <v>79</v>
      </c>
      <c r="C5" s="96" t="s">
        <v>59</v>
      </c>
      <c r="D5" s="97">
        <v>66526.931673225015</v>
      </c>
      <c r="E5" s="97">
        <v>66526.931673225015</v>
      </c>
      <c r="F5" s="98" t="s">
        <v>186</v>
      </c>
      <c r="G5" s="97">
        <v>66526.931673225015</v>
      </c>
      <c r="H5" s="98" t="s">
        <v>186</v>
      </c>
      <c r="I5" s="97">
        <v>66526.931673225015</v>
      </c>
      <c r="J5" s="98" t="s">
        <v>186</v>
      </c>
      <c r="K5" s="97">
        <v>66526.931673225015</v>
      </c>
      <c r="L5" s="98">
        <v>1</v>
      </c>
    </row>
    <row r="6" spans="1:12" ht="30" x14ac:dyDescent="0.25">
      <c r="A6" s="96" t="s">
        <v>54</v>
      </c>
      <c r="B6" s="96" t="s">
        <v>80</v>
      </c>
      <c r="C6" s="96" t="s">
        <v>59</v>
      </c>
      <c r="D6" s="97">
        <v>27322.570000000014</v>
      </c>
      <c r="E6" s="97">
        <v>27322.570000000014</v>
      </c>
      <c r="F6" s="98" t="s">
        <v>186</v>
      </c>
      <c r="G6" s="97">
        <v>27322.570000000014</v>
      </c>
      <c r="H6" s="98" t="s">
        <v>186</v>
      </c>
      <c r="I6" s="97">
        <v>27322.570000000014</v>
      </c>
      <c r="J6" s="98" t="s">
        <v>186</v>
      </c>
      <c r="K6" s="97">
        <v>27322.570000000014</v>
      </c>
      <c r="L6" s="98">
        <v>1</v>
      </c>
    </row>
    <row r="7" spans="1:12" ht="30" x14ac:dyDescent="0.25">
      <c r="A7" s="96" t="s">
        <v>54</v>
      </c>
      <c r="B7" s="96" t="s">
        <v>89</v>
      </c>
      <c r="C7" s="96" t="s">
        <v>59</v>
      </c>
      <c r="D7" s="97">
        <v>7738.8999999999987</v>
      </c>
      <c r="E7" s="97">
        <v>7738.8999999999987</v>
      </c>
      <c r="F7" s="98" t="s">
        <v>186</v>
      </c>
      <c r="G7" s="97">
        <v>7738.8999999999987</v>
      </c>
      <c r="H7" s="98" t="s">
        <v>186</v>
      </c>
      <c r="I7" s="97">
        <v>7738.8999999999987</v>
      </c>
      <c r="J7" s="98" t="s">
        <v>186</v>
      </c>
      <c r="K7" s="97">
        <v>7738.8999999999987</v>
      </c>
      <c r="L7" s="98">
        <v>1</v>
      </c>
    </row>
    <row r="8" spans="1:12" ht="30" x14ac:dyDescent="0.25">
      <c r="A8" s="96" t="s">
        <v>54</v>
      </c>
      <c r="B8" s="96" t="s">
        <v>90</v>
      </c>
      <c r="C8" s="96" t="s">
        <v>59</v>
      </c>
      <c r="D8" s="97">
        <v>12606.7</v>
      </c>
      <c r="E8" s="97">
        <v>12606.7</v>
      </c>
      <c r="F8" s="98" t="s">
        <v>186</v>
      </c>
      <c r="G8" s="97">
        <v>12606.7</v>
      </c>
      <c r="H8" s="98" t="s">
        <v>186</v>
      </c>
      <c r="I8" s="97">
        <v>12606.7</v>
      </c>
      <c r="J8" s="98" t="s">
        <v>186</v>
      </c>
      <c r="K8" s="97">
        <v>12606.7</v>
      </c>
      <c r="L8" s="98">
        <v>1</v>
      </c>
    </row>
    <row r="9" spans="1:12" ht="30" x14ac:dyDescent="0.25">
      <c r="A9" s="96" t="s">
        <v>54</v>
      </c>
      <c r="B9" s="96" t="s">
        <v>87</v>
      </c>
      <c r="C9" s="96" t="s">
        <v>59</v>
      </c>
      <c r="D9" s="97">
        <v>11821.399999999996</v>
      </c>
      <c r="E9" s="97">
        <v>11821.399999999996</v>
      </c>
      <c r="F9" s="98" t="s">
        <v>186</v>
      </c>
      <c r="G9" s="97">
        <v>11821.399999999996</v>
      </c>
      <c r="H9" s="98" t="s">
        <v>186</v>
      </c>
      <c r="I9" s="97">
        <v>11821.399999999996</v>
      </c>
      <c r="J9" s="98" t="s">
        <v>186</v>
      </c>
      <c r="K9" s="97">
        <v>11821.399999999996</v>
      </c>
      <c r="L9" s="98">
        <v>1</v>
      </c>
    </row>
    <row r="10" spans="1:12" ht="30" x14ac:dyDescent="0.25">
      <c r="A10" s="96" t="s">
        <v>54</v>
      </c>
      <c r="B10" s="96" t="s">
        <v>93</v>
      </c>
      <c r="C10" s="96" t="s">
        <v>59</v>
      </c>
      <c r="D10" s="97">
        <v>13649.199999999999</v>
      </c>
      <c r="E10" s="97">
        <v>13649.199999999999</v>
      </c>
      <c r="F10" s="98" t="s">
        <v>186</v>
      </c>
      <c r="G10" s="97">
        <v>13649.199999999999</v>
      </c>
      <c r="H10" s="98" t="s">
        <v>186</v>
      </c>
      <c r="I10" s="97">
        <v>13649.199999999999</v>
      </c>
      <c r="J10" s="98" t="s">
        <v>186</v>
      </c>
      <c r="K10" s="97">
        <v>13649.199999999999</v>
      </c>
      <c r="L10" s="98">
        <v>1</v>
      </c>
    </row>
    <row r="11" spans="1:12" ht="30" x14ac:dyDescent="0.25">
      <c r="A11" s="96" t="s">
        <v>54</v>
      </c>
      <c r="B11" s="96" t="s">
        <v>58</v>
      </c>
      <c r="C11" s="96" t="s">
        <v>59</v>
      </c>
      <c r="D11" s="97">
        <v>18015.695291250006</v>
      </c>
      <c r="E11" s="97">
        <v>18015.695291250006</v>
      </c>
      <c r="F11" s="98" t="s">
        <v>186</v>
      </c>
      <c r="G11" s="97">
        <v>18015.695291250006</v>
      </c>
      <c r="H11" s="98" t="s">
        <v>186</v>
      </c>
      <c r="I11" s="97">
        <v>18015.695291250006</v>
      </c>
      <c r="J11" s="98" t="s">
        <v>186</v>
      </c>
      <c r="K11" s="97">
        <v>18015.695291250006</v>
      </c>
      <c r="L11" s="98">
        <v>1</v>
      </c>
    </row>
    <row r="12" spans="1:12" ht="30" x14ac:dyDescent="0.25">
      <c r="A12" s="96" t="s">
        <v>54</v>
      </c>
      <c r="B12" s="96" t="s">
        <v>77</v>
      </c>
      <c r="C12" s="96" t="s">
        <v>59</v>
      </c>
      <c r="D12" s="97">
        <v>14499.954724850006</v>
      </c>
      <c r="E12" s="97">
        <v>14499.954724850006</v>
      </c>
      <c r="F12" s="98" t="s">
        <v>186</v>
      </c>
      <c r="G12" s="97">
        <v>14499.954724850006</v>
      </c>
      <c r="H12" s="98" t="s">
        <v>186</v>
      </c>
      <c r="I12" s="97">
        <v>14499.954724850006</v>
      </c>
      <c r="J12" s="98" t="s">
        <v>186</v>
      </c>
      <c r="K12" s="97">
        <v>14499.954724850006</v>
      </c>
      <c r="L12" s="98">
        <v>1</v>
      </c>
    </row>
    <row r="13" spans="1:12" x14ac:dyDescent="0.25">
      <c r="A13" s="96" t="s">
        <v>27</v>
      </c>
      <c r="B13" s="96" t="s">
        <v>28</v>
      </c>
      <c r="C13" s="96" t="s">
        <v>30</v>
      </c>
      <c r="D13" s="97">
        <v>96552.957720588165</v>
      </c>
      <c r="E13" s="97">
        <v>96552.957720588165</v>
      </c>
      <c r="F13" s="98" t="s">
        <v>186</v>
      </c>
      <c r="G13" s="97">
        <v>96552.957720588165</v>
      </c>
      <c r="H13" s="98" t="s">
        <v>186</v>
      </c>
      <c r="I13" s="97">
        <v>96552.957720588165</v>
      </c>
      <c r="J13" s="98" t="s">
        <v>186</v>
      </c>
      <c r="K13" s="97">
        <v>96552.957720588165</v>
      </c>
      <c r="L13" s="98">
        <v>1</v>
      </c>
    </row>
    <row r="14" spans="1:12" ht="45" x14ac:dyDescent="0.25">
      <c r="A14" s="96" t="s">
        <v>27</v>
      </c>
      <c r="B14" s="96" t="s">
        <v>154</v>
      </c>
      <c r="C14" s="96" t="s">
        <v>155</v>
      </c>
      <c r="D14" s="97">
        <v>69664.792279411718</v>
      </c>
      <c r="E14" s="97">
        <v>69664.792279411718</v>
      </c>
      <c r="F14" s="98" t="s">
        <v>186</v>
      </c>
      <c r="G14" s="97">
        <v>69664.792279411718</v>
      </c>
      <c r="H14" s="98" t="s">
        <v>186</v>
      </c>
      <c r="I14" s="97">
        <v>69664.792279411718</v>
      </c>
      <c r="J14" s="98" t="s">
        <v>186</v>
      </c>
      <c r="K14" s="97">
        <v>69664.792279411718</v>
      </c>
      <c r="L14" s="98">
        <v>1</v>
      </c>
    </row>
    <row r="15" spans="1:12" ht="45" x14ac:dyDescent="0.25">
      <c r="A15" s="96" t="s">
        <v>27</v>
      </c>
      <c r="B15" s="96" t="s">
        <v>96</v>
      </c>
      <c r="C15" s="96" t="s">
        <v>32</v>
      </c>
      <c r="D15" s="97">
        <v>7161.8114376280319</v>
      </c>
      <c r="E15" s="97">
        <v>7161.8114376280319</v>
      </c>
      <c r="F15" s="98" t="s">
        <v>186</v>
      </c>
      <c r="G15" s="97">
        <v>7161.8114376280319</v>
      </c>
      <c r="H15" s="98" t="s">
        <v>186</v>
      </c>
      <c r="I15" s="97">
        <v>7161.8114376280319</v>
      </c>
      <c r="J15" s="98" t="s">
        <v>186</v>
      </c>
      <c r="K15" s="97">
        <v>7161.8114376280319</v>
      </c>
      <c r="L15" s="98">
        <v>1</v>
      </c>
    </row>
    <row r="16" spans="1:12" x14ac:dyDescent="0.25">
      <c r="A16" s="96" t="s">
        <v>27</v>
      </c>
      <c r="B16" s="96" t="s">
        <v>31</v>
      </c>
      <c r="C16" s="96" t="s">
        <v>33</v>
      </c>
      <c r="D16" s="97">
        <v>108361.32088237196</v>
      </c>
      <c r="E16" s="97">
        <v>108361.32088237196</v>
      </c>
      <c r="F16" s="98" t="s">
        <v>186</v>
      </c>
      <c r="G16" s="97">
        <v>108361.32088237196</v>
      </c>
      <c r="H16" s="98" t="s">
        <v>186</v>
      </c>
      <c r="I16" s="97">
        <v>108361.32088237196</v>
      </c>
      <c r="J16" s="98" t="s">
        <v>186</v>
      </c>
      <c r="K16" s="97">
        <v>108361.32088237196</v>
      </c>
      <c r="L16" s="98">
        <v>1</v>
      </c>
    </row>
    <row r="17" spans="1:12" ht="45" x14ac:dyDescent="0.25">
      <c r="A17" s="96" t="s">
        <v>27</v>
      </c>
      <c r="B17" s="96" t="s">
        <v>97</v>
      </c>
      <c r="C17" s="96" t="s">
        <v>35</v>
      </c>
      <c r="D17" s="97">
        <v>28819.23</v>
      </c>
      <c r="E17" s="97">
        <v>28819.23</v>
      </c>
      <c r="F17" s="98" t="s">
        <v>186</v>
      </c>
      <c r="G17" s="97">
        <v>28819.23</v>
      </c>
      <c r="H17" s="98" t="s">
        <v>186</v>
      </c>
      <c r="I17" s="97">
        <v>28819.23</v>
      </c>
      <c r="J17" s="98" t="s">
        <v>186</v>
      </c>
      <c r="K17" s="97">
        <v>28819.23</v>
      </c>
      <c r="L17" s="98">
        <v>1</v>
      </c>
    </row>
    <row r="18" spans="1:12" x14ac:dyDescent="0.25">
      <c r="A18" s="96" t="s">
        <v>27</v>
      </c>
      <c r="B18" s="96" t="s">
        <v>34</v>
      </c>
      <c r="C18" s="96" t="s">
        <v>36</v>
      </c>
      <c r="D18" s="97">
        <v>41918.879999999997</v>
      </c>
      <c r="E18" s="97">
        <v>41918.879999999997</v>
      </c>
      <c r="F18" s="98" t="s">
        <v>186</v>
      </c>
      <c r="G18" s="97">
        <v>41918.879999999997</v>
      </c>
      <c r="H18" s="98" t="s">
        <v>186</v>
      </c>
      <c r="I18" s="97">
        <v>41918.879999999997</v>
      </c>
      <c r="J18" s="98" t="s">
        <v>186</v>
      </c>
      <c r="K18" s="97">
        <v>41918.879999999997</v>
      </c>
      <c r="L18" s="98">
        <v>1</v>
      </c>
    </row>
    <row r="19" spans="1:12" x14ac:dyDescent="0.25">
      <c r="A19" s="96" t="s">
        <v>37</v>
      </c>
      <c r="B19" s="96" t="s">
        <v>38</v>
      </c>
      <c r="C19" s="96" t="s">
        <v>30</v>
      </c>
      <c r="D19" s="97">
        <v>202798.24999999991</v>
      </c>
      <c r="E19" s="97">
        <v>198291.62222222213</v>
      </c>
      <c r="F19" s="98" t="s">
        <v>191</v>
      </c>
      <c r="G19" s="97">
        <v>198291.62222222213</v>
      </c>
      <c r="H19" s="98" t="s">
        <v>191</v>
      </c>
      <c r="I19" s="97">
        <v>198291.62222222213</v>
      </c>
      <c r="J19" s="98" t="s">
        <v>191</v>
      </c>
      <c r="K19" s="97">
        <v>0</v>
      </c>
      <c r="L19" s="98">
        <v>0</v>
      </c>
    </row>
    <row r="20" spans="1:12" ht="45" x14ac:dyDescent="0.25">
      <c r="A20" s="96" t="s">
        <v>37</v>
      </c>
      <c r="B20" s="96" t="s">
        <v>98</v>
      </c>
      <c r="C20" s="96" t="s">
        <v>40</v>
      </c>
      <c r="D20" s="97">
        <v>14225.697777777767</v>
      </c>
      <c r="E20" s="97">
        <v>14225.697777777767</v>
      </c>
      <c r="F20" s="98" t="s">
        <v>186</v>
      </c>
      <c r="G20" s="97">
        <v>14225.697777777767</v>
      </c>
      <c r="H20" s="98" t="s">
        <v>186</v>
      </c>
      <c r="I20" s="97">
        <v>14225.697777777767</v>
      </c>
      <c r="J20" s="98" t="s">
        <v>186</v>
      </c>
      <c r="K20" s="97">
        <v>14225.697777777767</v>
      </c>
      <c r="L20" s="98">
        <v>1</v>
      </c>
    </row>
    <row r="21" spans="1:12" x14ac:dyDescent="0.25">
      <c r="A21" s="96" t="s">
        <v>37</v>
      </c>
      <c r="B21" s="96" t="s">
        <v>39</v>
      </c>
      <c r="C21" s="96" t="s">
        <v>41</v>
      </c>
      <c r="D21" s="97">
        <v>33786.032222222195</v>
      </c>
      <c r="E21" s="97">
        <v>33786.032222222195</v>
      </c>
      <c r="F21" s="98" t="s">
        <v>186</v>
      </c>
      <c r="G21" s="97">
        <v>33786.032222222195</v>
      </c>
      <c r="H21" s="98" t="s">
        <v>186</v>
      </c>
      <c r="I21" s="97">
        <v>33786.032222222195</v>
      </c>
      <c r="J21" s="98" t="s">
        <v>186</v>
      </c>
      <c r="K21" s="97">
        <v>33786.032222222195</v>
      </c>
      <c r="L21" s="98">
        <v>1</v>
      </c>
    </row>
    <row r="22" spans="1:12" x14ac:dyDescent="0.25">
      <c r="A22" s="96" t="s">
        <v>48</v>
      </c>
      <c r="B22" s="96" t="s">
        <v>50</v>
      </c>
      <c r="C22" s="96" t="s">
        <v>30</v>
      </c>
      <c r="D22" s="97">
        <v>197930.57800000015</v>
      </c>
      <c r="E22" s="97">
        <v>197930.57800000015</v>
      </c>
      <c r="F22" s="98" t="s">
        <v>186</v>
      </c>
      <c r="G22" s="97">
        <v>197930.57800000015</v>
      </c>
      <c r="H22" s="98" t="s">
        <v>186</v>
      </c>
      <c r="I22" s="97">
        <v>197930.57800000015</v>
      </c>
      <c r="J22" s="98" t="s">
        <v>186</v>
      </c>
      <c r="K22" s="97">
        <v>197930.57800000015</v>
      </c>
      <c r="L22" s="98">
        <v>1</v>
      </c>
    </row>
    <row r="23" spans="1:12" ht="45" x14ac:dyDescent="0.25">
      <c r="A23" s="96" t="s">
        <v>48</v>
      </c>
      <c r="B23" s="96" t="s">
        <v>99</v>
      </c>
      <c r="C23" s="96" t="s">
        <v>40</v>
      </c>
      <c r="D23" s="97">
        <v>48039.180472087894</v>
      </c>
      <c r="E23" s="97">
        <v>48039.180472087894</v>
      </c>
      <c r="F23" s="98" t="s">
        <v>186</v>
      </c>
      <c r="G23" s="97">
        <v>48039.180472087894</v>
      </c>
      <c r="H23" s="98" t="s">
        <v>186</v>
      </c>
      <c r="I23" s="97">
        <v>48039.180472087894</v>
      </c>
      <c r="J23" s="98" t="s">
        <v>186</v>
      </c>
      <c r="K23" s="97">
        <v>48039.180472087894</v>
      </c>
      <c r="L23" s="98">
        <v>1</v>
      </c>
    </row>
    <row r="24" spans="1:12" x14ac:dyDescent="0.25">
      <c r="A24" s="96" t="s">
        <v>48</v>
      </c>
      <c r="B24" s="96" t="s">
        <v>49</v>
      </c>
      <c r="C24" s="96" t="s">
        <v>41</v>
      </c>
      <c r="D24" s="97">
        <v>113870.65000791205</v>
      </c>
      <c r="E24" s="97">
        <v>113870.65000791205</v>
      </c>
      <c r="F24" s="98" t="s">
        <v>186</v>
      </c>
      <c r="G24" s="97">
        <v>113870.65000791205</v>
      </c>
      <c r="H24" s="98" t="s">
        <v>186</v>
      </c>
      <c r="I24" s="97">
        <v>113870.65000791205</v>
      </c>
      <c r="J24" s="98" t="s">
        <v>186</v>
      </c>
      <c r="K24" s="97">
        <v>113870.65000791205</v>
      </c>
      <c r="L24" s="98">
        <v>1</v>
      </c>
    </row>
    <row r="25" spans="1:12" x14ac:dyDescent="0.25">
      <c r="A25" s="96" t="s">
        <v>48</v>
      </c>
      <c r="B25" s="96" t="s">
        <v>53</v>
      </c>
      <c r="C25" s="96" t="s">
        <v>30</v>
      </c>
      <c r="D25" s="97">
        <v>38583.482900000025</v>
      </c>
      <c r="E25" s="97">
        <v>38583.482900000025</v>
      </c>
      <c r="F25" s="98" t="s">
        <v>186</v>
      </c>
      <c r="G25" s="97">
        <v>38583.482900000025</v>
      </c>
      <c r="H25" s="98" t="s">
        <v>186</v>
      </c>
      <c r="I25" s="97">
        <v>38583.482900000025</v>
      </c>
      <c r="J25" s="98" t="s">
        <v>186</v>
      </c>
      <c r="K25" s="97">
        <v>38583.482900000025</v>
      </c>
      <c r="L25" s="98">
        <v>1</v>
      </c>
    </row>
    <row r="26" spans="1:12" x14ac:dyDescent="0.25">
      <c r="A26" s="96" t="s">
        <v>42</v>
      </c>
      <c r="B26" s="96" t="s">
        <v>43</v>
      </c>
      <c r="C26" s="96" t="s">
        <v>30</v>
      </c>
      <c r="D26" s="97">
        <v>117331.45999999999</v>
      </c>
      <c r="E26" s="97">
        <v>117331.45999999999</v>
      </c>
      <c r="F26" s="98" t="s">
        <v>186</v>
      </c>
      <c r="G26" s="97">
        <v>117331.45999999999</v>
      </c>
      <c r="H26" s="98" t="s">
        <v>186</v>
      </c>
      <c r="I26" s="97">
        <v>117331.45999999999</v>
      </c>
      <c r="J26" s="98" t="s">
        <v>186</v>
      </c>
      <c r="K26" s="97">
        <v>117331.45999999999</v>
      </c>
      <c r="L26" s="98">
        <v>1</v>
      </c>
    </row>
    <row r="27" spans="1:12" ht="45" x14ac:dyDescent="0.25">
      <c r="A27" s="96" t="s">
        <v>42</v>
      </c>
      <c r="B27" s="96" t="s">
        <v>100</v>
      </c>
      <c r="C27" s="96" t="s">
        <v>40</v>
      </c>
      <c r="D27" s="97">
        <v>31371.858461538464</v>
      </c>
      <c r="E27" s="97">
        <v>31371.858461538464</v>
      </c>
      <c r="F27" s="98" t="s">
        <v>186</v>
      </c>
      <c r="G27" s="97">
        <v>31371.858461538464</v>
      </c>
      <c r="H27" s="98" t="s">
        <v>186</v>
      </c>
      <c r="I27" s="97">
        <v>31371.858461538464</v>
      </c>
      <c r="J27" s="98" t="s">
        <v>186</v>
      </c>
      <c r="K27" s="97">
        <v>31371.858461538464</v>
      </c>
      <c r="L27" s="98">
        <v>1</v>
      </c>
    </row>
    <row r="28" spans="1:12" x14ac:dyDescent="0.25">
      <c r="A28" s="96" t="s">
        <v>42</v>
      </c>
      <c r="B28" s="96" t="s">
        <v>44</v>
      </c>
      <c r="C28" s="96" t="s">
        <v>41</v>
      </c>
      <c r="D28" s="97">
        <v>53593.591538461544</v>
      </c>
      <c r="E28" s="97">
        <v>53593.591538461544</v>
      </c>
      <c r="F28" s="98" t="s">
        <v>186</v>
      </c>
      <c r="G28" s="97">
        <v>53593.591538461544</v>
      </c>
      <c r="H28" s="98" t="s">
        <v>186</v>
      </c>
      <c r="I28" s="97">
        <v>53593.591538461544</v>
      </c>
      <c r="J28" s="98" t="s">
        <v>186</v>
      </c>
      <c r="K28" s="97">
        <v>53593.591538461544</v>
      </c>
      <c r="L28" s="98">
        <v>1</v>
      </c>
    </row>
    <row r="29" spans="1:12" ht="45" x14ac:dyDescent="0.25">
      <c r="A29" s="96" t="s">
        <v>42</v>
      </c>
      <c r="B29" s="96" t="s">
        <v>156</v>
      </c>
      <c r="C29" s="96" t="s">
        <v>157</v>
      </c>
      <c r="D29" s="97">
        <v>18310.153273878263</v>
      </c>
      <c r="E29" s="97">
        <v>18310.153273878263</v>
      </c>
      <c r="F29" s="98" t="s">
        <v>186</v>
      </c>
      <c r="G29" s="97">
        <v>18310.153273878263</v>
      </c>
      <c r="H29" s="98" t="s">
        <v>186</v>
      </c>
      <c r="I29" s="97">
        <v>18310.153273878263</v>
      </c>
      <c r="J29" s="98" t="s">
        <v>186</v>
      </c>
      <c r="K29" s="97">
        <v>18310.153273878263</v>
      </c>
      <c r="L29" s="98">
        <v>1</v>
      </c>
    </row>
    <row r="30" spans="1:12" x14ac:dyDescent="0.25">
      <c r="A30" s="96" t="s">
        <v>42</v>
      </c>
      <c r="B30" s="96" t="s">
        <v>45</v>
      </c>
      <c r="C30" s="96" t="s">
        <v>46</v>
      </c>
      <c r="D30" s="97">
        <v>26811.295865321739</v>
      </c>
      <c r="E30" s="97">
        <v>26811.295865321739</v>
      </c>
      <c r="F30" s="98" t="s">
        <v>186</v>
      </c>
      <c r="G30" s="97">
        <v>26811.295865321739</v>
      </c>
      <c r="H30" s="98" t="s">
        <v>186</v>
      </c>
      <c r="I30" s="97">
        <v>26811.295865321739</v>
      </c>
      <c r="J30" s="98" t="s">
        <v>186</v>
      </c>
      <c r="K30" s="97">
        <v>26811.295865321739</v>
      </c>
      <c r="L30" s="98">
        <v>1</v>
      </c>
    </row>
    <row r="31" spans="1:12" x14ac:dyDescent="0.25">
      <c r="A31" s="96" t="s">
        <v>42</v>
      </c>
      <c r="B31" s="96" t="s">
        <v>92</v>
      </c>
      <c r="C31" s="96" t="s">
        <v>30</v>
      </c>
      <c r="D31" s="97">
        <v>19379.126958333338</v>
      </c>
      <c r="E31" s="97">
        <v>19379.126958333338</v>
      </c>
      <c r="F31" s="98" t="s">
        <v>186</v>
      </c>
      <c r="G31" s="97">
        <v>19379.126958333338</v>
      </c>
      <c r="H31" s="98" t="s">
        <v>186</v>
      </c>
      <c r="I31" s="97">
        <v>19379.126958333338</v>
      </c>
      <c r="J31" s="98" t="s">
        <v>186</v>
      </c>
      <c r="K31" s="97">
        <v>19379.126958333338</v>
      </c>
      <c r="L31" s="98">
        <v>1</v>
      </c>
    </row>
    <row r="32" spans="1:12" x14ac:dyDescent="0.25">
      <c r="A32" s="96" t="s">
        <v>42</v>
      </c>
      <c r="B32" s="96" t="s">
        <v>158</v>
      </c>
      <c r="C32" s="96" t="s">
        <v>30</v>
      </c>
      <c r="D32" s="97">
        <v>3875.8253916666677</v>
      </c>
      <c r="E32" s="97">
        <v>3875.8253916666677</v>
      </c>
      <c r="F32" s="98" t="s">
        <v>186</v>
      </c>
      <c r="G32" s="97">
        <v>3875.8253916666677</v>
      </c>
      <c r="H32" s="98" t="s">
        <v>186</v>
      </c>
      <c r="I32" s="97">
        <v>3875.8253916666677</v>
      </c>
      <c r="J32" s="98" t="s">
        <v>186</v>
      </c>
      <c r="K32" s="97">
        <v>3875.8253916666677</v>
      </c>
      <c r="L32" s="98">
        <v>1</v>
      </c>
    </row>
    <row r="33" spans="1:12" x14ac:dyDescent="0.25">
      <c r="A33" s="96" t="s">
        <v>47</v>
      </c>
      <c r="B33" s="96" t="s">
        <v>47</v>
      </c>
      <c r="C33" s="96" t="s">
        <v>30</v>
      </c>
      <c r="D33" s="97">
        <v>231366.75872000019</v>
      </c>
      <c r="E33" s="97">
        <v>231366.75872000019</v>
      </c>
      <c r="F33" s="98" t="s">
        <v>186</v>
      </c>
      <c r="G33" s="97">
        <v>231366.75872000019</v>
      </c>
      <c r="H33" s="98" t="s">
        <v>186</v>
      </c>
      <c r="I33" s="97">
        <v>231366.75872000019</v>
      </c>
      <c r="J33" s="98" t="s">
        <v>186</v>
      </c>
      <c r="K33" s="97">
        <v>231366.75872000019</v>
      </c>
      <c r="L33" s="98">
        <v>1</v>
      </c>
    </row>
    <row r="34" spans="1:12" ht="45" x14ac:dyDescent="0.25">
      <c r="A34" s="96" t="s">
        <v>51</v>
      </c>
      <c r="B34" s="96" t="s">
        <v>73</v>
      </c>
      <c r="C34" s="96" t="s">
        <v>159</v>
      </c>
      <c r="D34" s="97">
        <v>60975.073548387059</v>
      </c>
      <c r="E34" s="97">
        <v>60975.073548387059</v>
      </c>
      <c r="F34" s="98" t="s">
        <v>186</v>
      </c>
      <c r="G34" s="97">
        <v>60975.073548387059</v>
      </c>
      <c r="H34" s="98" t="s">
        <v>186</v>
      </c>
      <c r="I34" s="97">
        <v>60975.073548387059</v>
      </c>
      <c r="J34" s="98" t="s">
        <v>186</v>
      </c>
      <c r="K34" s="97">
        <v>0</v>
      </c>
      <c r="L34" s="98">
        <v>0</v>
      </c>
    </row>
    <row r="35" spans="1:12" ht="45" x14ac:dyDescent="0.25">
      <c r="A35" s="96" t="s">
        <v>51</v>
      </c>
      <c r="B35" s="96" t="s">
        <v>73</v>
      </c>
      <c r="C35" s="96" t="s">
        <v>160</v>
      </c>
      <c r="D35" s="97">
        <v>46627.997419354811</v>
      </c>
      <c r="E35" s="97">
        <v>32280.92129032256</v>
      </c>
      <c r="F35" s="98" t="s">
        <v>192</v>
      </c>
      <c r="G35" s="97">
        <v>32280.92129032256</v>
      </c>
      <c r="H35" s="98" t="s">
        <v>192</v>
      </c>
      <c r="I35" s="97">
        <v>28694.1522580645</v>
      </c>
      <c r="J35" s="98" t="s">
        <v>193</v>
      </c>
      <c r="K35" s="97">
        <v>0</v>
      </c>
      <c r="L35" s="98">
        <v>0</v>
      </c>
    </row>
    <row r="36" spans="1:12" ht="45" x14ac:dyDescent="0.25">
      <c r="A36" s="96" t="s">
        <v>51</v>
      </c>
      <c r="B36" s="96" t="s">
        <v>73</v>
      </c>
      <c r="C36" s="96" t="s">
        <v>161</v>
      </c>
      <c r="D36" s="97">
        <v>3586.7690322580625</v>
      </c>
      <c r="E36" s="97">
        <v>3586.7690322580625</v>
      </c>
      <c r="F36" s="98" t="s">
        <v>186</v>
      </c>
      <c r="G36" s="97">
        <v>3586.7690322580625</v>
      </c>
      <c r="H36" s="98" t="s">
        <v>186</v>
      </c>
      <c r="I36" s="97">
        <v>0</v>
      </c>
      <c r="J36" s="98" t="s">
        <v>187</v>
      </c>
      <c r="K36" s="97">
        <v>0</v>
      </c>
      <c r="L36" s="98">
        <v>0</v>
      </c>
    </row>
    <row r="37" spans="1:12" ht="45" x14ac:dyDescent="0.25">
      <c r="A37" s="96" t="s">
        <v>51</v>
      </c>
      <c r="B37" s="96" t="s">
        <v>72</v>
      </c>
      <c r="C37" s="96" t="s">
        <v>159</v>
      </c>
      <c r="D37" s="97">
        <v>56297.169999999955</v>
      </c>
      <c r="E37" s="97">
        <v>56297.169999999955</v>
      </c>
      <c r="F37" s="98" t="s">
        <v>186</v>
      </c>
      <c r="G37" s="97">
        <v>56297.169999999955</v>
      </c>
      <c r="H37" s="98" t="s">
        <v>186</v>
      </c>
      <c r="I37" s="97">
        <v>56297.169999999955</v>
      </c>
      <c r="J37" s="98" t="s">
        <v>186</v>
      </c>
      <c r="K37" s="97">
        <v>56297.169999999955</v>
      </c>
      <c r="L37" s="98">
        <v>1</v>
      </c>
    </row>
    <row r="38" spans="1:12" ht="45" x14ac:dyDescent="0.25">
      <c r="A38" s="96" t="s">
        <v>51</v>
      </c>
      <c r="B38" s="96" t="s">
        <v>72</v>
      </c>
      <c r="C38" s="96" t="s">
        <v>160</v>
      </c>
      <c r="D38" s="97">
        <v>56297.169999999955</v>
      </c>
      <c r="E38" s="97">
        <v>56297.169999999955</v>
      </c>
      <c r="F38" s="98" t="s">
        <v>186</v>
      </c>
      <c r="G38" s="97">
        <v>56297.169999999955</v>
      </c>
      <c r="H38" s="98" t="s">
        <v>186</v>
      </c>
      <c r="I38" s="97">
        <v>56297.169999999955</v>
      </c>
      <c r="J38" s="98" t="s">
        <v>186</v>
      </c>
      <c r="K38" s="97">
        <v>56297.169999999955</v>
      </c>
      <c r="L38" s="98">
        <v>1</v>
      </c>
    </row>
    <row r="39" spans="1:12" ht="45" x14ac:dyDescent="0.25">
      <c r="A39" s="96" t="s">
        <v>51</v>
      </c>
      <c r="B39" s="96" t="s">
        <v>69</v>
      </c>
      <c r="C39" s="96" t="s">
        <v>159</v>
      </c>
      <c r="D39" s="97">
        <v>51802.619999999923</v>
      </c>
      <c r="E39" s="97">
        <v>51802.619999999923</v>
      </c>
      <c r="F39" s="98" t="s">
        <v>186</v>
      </c>
      <c r="G39" s="97">
        <v>51802.619999999923</v>
      </c>
      <c r="H39" s="98" t="s">
        <v>186</v>
      </c>
      <c r="I39" s="97">
        <v>51802.619999999923</v>
      </c>
      <c r="J39" s="98" t="s">
        <v>186</v>
      </c>
      <c r="K39" s="97">
        <v>51802.619999999923</v>
      </c>
      <c r="L39" s="98">
        <v>1</v>
      </c>
    </row>
    <row r="40" spans="1:12" ht="45" x14ac:dyDescent="0.25">
      <c r="A40" s="96" t="s">
        <v>51</v>
      </c>
      <c r="B40" s="96" t="s">
        <v>69</v>
      </c>
      <c r="C40" s="96" t="s">
        <v>160</v>
      </c>
      <c r="D40" s="97">
        <v>51802.619999999923</v>
      </c>
      <c r="E40" s="97">
        <v>51802.619999999923</v>
      </c>
      <c r="F40" s="98" t="s">
        <v>186</v>
      </c>
      <c r="G40" s="97">
        <v>51802.619999999923</v>
      </c>
      <c r="H40" s="98" t="s">
        <v>186</v>
      </c>
      <c r="I40" s="97">
        <v>51802.619999999923</v>
      </c>
      <c r="J40" s="98" t="s">
        <v>186</v>
      </c>
      <c r="K40" s="97">
        <v>51802.619999999923</v>
      </c>
      <c r="L40" s="98">
        <v>1</v>
      </c>
    </row>
    <row r="41" spans="1:12" ht="45" x14ac:dyDescent="0.25">
      <c r="A41" s="96" t="s">
        <v>51</v>
      </c>
      <c r="B41" s="96" t="s">
        <v>68</v>
      </c>
      <c r="C41" s="96" t="s">
        <v>159</v>
      </c>
      <c r="D41" s="97">
        <v>89929.743749999994</v>
      </c>
      <c r="E41" s="97">
        <v>89929.743749999994</v>
      </c>
      <c r="F41" s="98" t="s">
        <v>186</v>
      </c>
      <c r="G41" s="97">
        <v>89929.743749999994</v>
      </c>
      <c r="H41" s="98" t="s">
        <v>186</v>
      </c>
      <c r="I41" s="97">
        <v>89929.743749999994</v>
      </c>
      <c r="J41" s="98" t="s">
        <v>186</v>
      </c>
      <c r="K41" s="97">
        <v>89929.743749999994</v>
      </c>
      <c r="L41" s="98">
        <v>1</v>
      </c>
    </row>
    <row r="42" spans="1:12" ht="45" x14ac:dyDescent="0.25">
      <c r="A42" s="96" t="s">
        <v>51</v>
      </c>
      <c r="B42" s="96" t="s">
        <v>68</v>
      </c>
      <c r="C42" s="96" t="s">
        <v>160</v>
      </c>
      <c r="D42" s="97">
        <v>5995.3162499999999</v>
      </c>
      <c r="E42" s="97">
        <v>5995.3162499999999</v>
      </c>
      <c r="F42" s="98" t="s">
        <v>186</v>
      </c>
      <c r="G42" s="97">
        <v>5995.3162499999999</v>
      </c>
      <c r="H42" s="98" t="s">
        <v>186</v>
      </c>
      <c r="I42" s="97">
        <v>5995.3162499999999</v>
      </c>
      <c r="J42" s="98" t="s">
        <v>186</v>
      </c>
      <c r="K42" s="97">
        <v>5995.3162499999999</v>
      </c>
      <c r="L42" s="98">
        <v>1</v>
      </c>
    </row>
    <row r="43" spans="1:12" ht="45" x14ac:dyDescent="0.25">
      <c r="A43" s="96" t="s">
        <v>51</v>
      </c>
      <c r="B43" s="96" t="s">
        <v>60</v>
      </c>
      <c r="C43" s="96" t="s">
        <v>159</v>
      </c>
      <c r="D43" s="97">
        <v>84125.098536585356</v>
      </c>
      <c r="E43" s="97">
        <v>84125.098536585356</v>
      </c>
      <c r="F43" s="98" t="s">
        <v>186</v>
      </c>
      <c r="G43" s="97">
        <v>84125.098536585356</v>
      </c>
      <c r="H43" s="98" t="s">
        <v>186</v>
      </c>
      <c r="I43" s="97">
        <v>84125.098536585356</v>
      </c>
      <c r="J43" s="98" t="s">
        <v>186</v>
      </c>
      <c r="K43" s="97">
        <v>84125.098536585356</v>
      </c>
      <c r="L43" s="98">
        <v>1</v>
      </c>
    </row>
    <row r="44" spans="1:12" ht="45" x14ac:dyDescent="0.25">
      <c r="A44" s="96" t="s">
        <v>51</v>
      </c>
      <c r="B44" s="96" t="s">
        <v>60</v>
      </c>
      <c r="C44" s="96" t="s">
        <v>160</v>
      </c>
      <c r="D44" s="97">
        <v>11684.041463414633</v>
      </c>
      <c r="E44" s="97">
        <v>11684.041463414633</v>
      </c>
      <c r="F44" s="98" t="s">
        <v>186</v>
      </c>
      <c r="G44" s="97">
        <v>11684.041463414633</v>
      </c>
      <c r="H44" s="98" t="s">
        <v>186</v>
      </c>
      <c r="I44" s="97">
        <v>11684.041463414633</v>
      </c>
      <c r="J44" s="98" t="s">
        <v>186</v>
      </c>
      <c r="K44" s="97">
        <v>11684.041463414633</v>
      </c>
      <c r="L44" s="98">
        <v>1</v>
      </c>
    </row>
    <row r="45" spans="1:12" ht="45" x14ac:dyDescent="0.25">
      <c r="A45" s="96" t="s">
        <v>51</v>
      </c>
      <c r="B45" s="96" t="s">
        <v>57</v>
      </c>
      <c r="C45" s="96" t="s">
        <v>159</v>
      </c>
      <c r="D45" s="97">
        <v>92753.886822227039</v>
      </c>
      <c r="E45" s="97">
        <v>92753.886822227039</v>
      </c>
      <c r="F45" s="98" t="s">
        <v>186</v>
      </c>
      <c r="G45" s="97">
        <v>92753.886822227039</v>
      </c>
      <c r="H45" s="98" t="s">
        <v>186</v>
      </c>
      <c r="I45" s="97">
        <v>92753.886822227039</v>
      </c>
      <c r="J45" s="98" t="s">
        <v>186</v>
      </c>
      <c r="K45" s="97">
        <v>92753.886822227039</v>
      </c>
      <c r="L45" s="98">
        <v>1</v>
      </c>
    </row>
    <row r="46" spans="1:12" ht="45" x14ac:dyDescent="0.25">
      <c r="A46" s="96" t="s">
        <v>51</v>
      </c>
      <c r="B46" s="96" t="s">
        <v>57</v>
      </c>
      <c r="C46" s="96" t="s">
        <v>160</v>
      </c>
      <c r="D46" s="97">
        <v>2576.4968561729734</v>
      </c>
      <c r="E46" s="97">
        <v>2576.4968561729734</v>
      </c>
      <c r="F46" s="98" t="s">
        <v>186</v>
      </c>
      <c r="G46" s="97">
        <v>2576.4968561729734</v>
      </c>
      <c r="H46" s="98" t="s">
        <v>186</v>
      </c>
      <c r="I46" s="97">
        <v>2576.4968561729734</v>
      </c>
      <c r="J46" s="98" t="s">
        <v>186</v>
      </c>
      <c r="K46" s="97">
        <v>2576.4968561729734</v>
      </c>
      <c r="L46" s="98">
        <v>1</v>
      </c>
    </row>
    <row r="47" spans="1:12" ht="45" x14ac:dyDescent="0.25">
      <c r="A47" s="96" t="s">
        <v>51</v>
      </c>
      <c r="B47" s="96" t="s">
        <v>55</v>
      </c>
      <c r="C47" s="96" t="s">
        <v>159</v>
      </c>
      <c r="D47" s="97">
        <v>33687.787500000006</v>
      </c>
      <c r="E47" s="97">
        <v>33687.787500000006</v>
      </c>
      <c r="F47" s="98" t="s">
        <v>186</v>
      </c>
      <c r="G47" s="97">
        <v>33687.787500000006</v>
      </c>
      <c r="H47" s="98" t="s">
        <v>186</v>
      </c>
      <c r="I47" s="97">
        <v>33687.787500000006</v>
      </c>
      <c r="J47" s="98" t="s">
        <v>186</v>
      </c>
      <c r="K47" s="97">
        <v>33687.787500000006</v>
      </c>
      <c r="L47" s="98">
        <v>1</v>
      </c>
    </row>
    <row r="48" spans="1:12" ht="45" x14ac:dyDescent="0.25">
      <c r="A48" s="96" t="s">
        <v>51</v>
      </c>
      <c r="B48" s="96" t="s">
        <v>55</v>
      </c>
      <c r="C48" s="96" t="s">
        <v>160</v>
      </c>
      <c r="D48" s="97">
        <v>1464.6864130434785</v>
      </c>
      <c r="E48" s="97">
        <v>1464.6864130434785</v>
      </c>
      <c r="F48" s="98" t="s">
        <v>186</v>
      </c>
      <c r="G48" s="97">
        <v>1464.6864130434785</v>
      </c>
      <c r="H48" s="98" t="s">
        <v>186</v>
      </c>
      <c r="I48" s="97">
        <v>1464.6864130434785</v>
      </c>
      <c r="J48" s="98" t="s">
        <v>186</v>
      </c>
      <c r="K48" s="97">
        <v>1464.6864130434785</v>
      </c>
      <c r="L48" s="98">
        <v>1</v>
      </c>
    </row>
    <row r="49" spans="1:12" ht="45" x14ac:dyDescent="0.25">
      <c r="A49" s="96" t="s">
        <v>51</v>
      </c>
      <c r="B49" s="96" t="s">
        <v>55</v>
      </c>
      <c r="C49" s="96" t="s">
        <v>162</v>
      </c>
      <c r="D49" s="97">
        <v>99598.676086956533</v>
      </c>
      <c r="E49" s="97">
        <v>99598.676086956533</v>
      </c>
      <c r="F49" s="98" t="s">
        <v>186</v>
      </c>
      <c r="G49" s="97">
        <v>99598.676086956533</v>
      </c>
      <c r="H49" s="98" t="s">
        <v>186</v>
      </c>
      <c r="I49" s="97">
        <v>99598.676086956533</v>
      </c>
      <c r="J49" s="98" t="s">
        <v>186</v>
      </c>
      <c r="K49" s="97">
        <v>99598.676086956533</v>
      </c>
      <c r="L49" s="98">
        <v>1</v>
      </c>
    </row>
    <row r="50" spans="1:12" ht="45" x14ac:dyDescent="0.25">
      <c r="A50" s="96" t="s">
        <v>51</v>
      </c>
      <c r="B50" s="96" t="s">
        <v>52</v>
      </c>
      <c r="C50" s="96" t="s">
        <v>159</v>
      </c>
      <c r="D50" s="97">
        <v>67096.790270270314</v>
      </c>
      <c r="E50" s="97">
        <v>67096.790270270314</v>
      </c>
      <c r="F50" s="98" t="s">
        <v>186</v>
      </c>
      <c r="G50" s="97">
        <v>67096.790270270314</v>
      </c>
      <c r="H50" s="98" t="s">
        <v>186</v>
      </c>
      <c r="I50" s="97">
        <v>67096.790270270314</v>
      </c>
      <c r="J50" s="98" t="s">
        <v>186</v>
      </c>
      <c r="K50" s="97">
        <v>67096.790270270314</v>
      </c>
      <c r="L50" s="98">
        <v>1</v>
      </c>
    </row>
    <row r="51" spans="1:12" ht="45" x14ac:dyDescent="0.25">
      <c r="A51" s="96" t="s">
        <v>51</v>
      </c>
      <c r="B51" s="96" t="s">
        <v>52</v>
      </c>
      <c r="C51" s="96" t="s">
        <v>163</v>
      </c>
      <c r="D51" s="97">
        <v>1863.7997297297309</v>
      </c>
      <c r="E51" s="97">
        <v>1863.7997297297309</v>
      </c>
      <c r="F51" s="98" t="s">
        <v>186</v>
      </c>
      <c r="G51" s="97">
        <v>1863.7997297297309</v>
      </c>
      <c r="H51" s="98" t="s">
        <v>186</v>
      </c>
      <c r="I51" s="97">
        <v>1863.7997297297309</v>
      </c>
      <c r="J51" s="98" t="s">
        <v>186</v>
      </c>
      <c r="K51" s="97">
        <v>1863.7997297297309</v>
      </c>
      <c r="L51" s="98">
        <v>1</v>
      </c>
    </row>
    <row r="52" spans="1:12" ht="45" x14ac:dyDescent="0.25">
      <c r="A52" s="96" t="s">
        <v>54</v>
      </c>
      <c r="B52" s="96" t="s">
        <v>62</v>
      </c>
      <c r="C52" s="96" t="s">
        <v>164</v>
      </c>
      <c r="D52" s="97">
        <v>83412.565384615358</v>
      </c>
      <c r="E52" s="97">
        <v>75468.51153846152</v>
      </c>
      <c r="F52" s="98" t="s">
        <v>194</v>
      </c>
      <c r="G52" s="97">
        <v>43692.296153846139</v>
      </c>
      <c r="H52" s="98" t="s">
        <v>195</v>
      </c>
      <c r="I52" s="97">
        <v>35748.242307692293</v>
      </c>
      <c r="J52" s="98" t="s">
        <v>196</v>
      </c>
      <c r="K52" s="97">
        <v>0</v>
      </c>
      <c r="L52" s="98">
        <v>0</v>
      </c>
    </row>
    <row r="53" spans="1:12" ht="45" x14ac:dyDescent="0.25">
      <c r="A53" s="96" t="s">
        <v>54</v>
      </c>
      <c r="B53" s="96" t="s">
        <v>62</v>
      </c>
      <c r="C53" s="96" t="s">
        <v>165</v>
      </c>
      <c r="D53" s="97">
        <v>19860.13461538461</v>
      </c>
      <c r="E53" s="97">
        <v>7944.0538461538445</v>
      </c>
      <c r="F53" s="98" t="s">
        <v>197</v>
      </c>
      <c r="G53" s="97">
        <v>0</v>
      </c>
      <c r="H53" s="98" t="s">
        <v>187</v>
      </c>
      <c r="I53" s="97">
        <v>0</v>
      </c>
      <c r="J53" s="98" t="s">
        <v>187</v>
      </c>
      <c r="K53" s="97">
        <v>0</v>
      </c>
      <c r="L53" s="98">
        <v>0</v>
      </c>
    </row>
    <row r="54" spans="1:12" ht="45" x14ac:dyDescent="0.25">
      <c r="A54" s="96" t="s">
        <v>54</v>
      </c>
      <c r="B54" s="96" t="s">
        <v>64</v>
      </c>
      <c r="C54" s="96" t="s">
        <v>164</v>
      </c>
      <c r="D54" s="97">
        <v>51573.783703703702</v>
      </c>
      <c r="E54" s="97">
        <v>51573.783703703702</v>
      </c>
      <c r="F54" s="98" t="s">
        <v>186</v>
      </c>
      <c r="G54" s="97">
        <v>45127.060740740737</v>
      </c>
      <c r="H54" s="98" t="s">
        <v>198</v>
      </c>
      <c r="I54" s="97">
        <v>45127.060740740737</v>
      </c>
      <c r="J54" s="98" t="s">
        <v>198</v>
      </c>
      <c r="K54" s="97">
        <v>0</v>
      </c>
      <c r="L54" s="98">
        <v>0</v>
      </c>
    </row>
    <row r="55" spans="1:12" ht="45" x14ac:dyDescent="0.25">
      <c r="A55" s="96" t="s">
        <v>54</v>
      </c>
      <c r="B55" s="96" t="s">
        <v>64</v>
      </c>
      <c r="C55" s="96" t="s">
        <v>165</v>
      </c>
      <c r="D55" s="97">
        <v>35456.976296296292</v>
      </c>
      <c r="E55" s="97">
        <v>32233.61481481481</v>
      </c>
      <c r="F55" s="98" t="s">
        <v>199</v>
      </c>
      <c r="G55" s="97">
        <v>29010.25333333333</v>
      </c>
      <c r="H55" s="98" t="s">
        <v>200</v>
      </c>
      <c r="I55" s="97">
        <v>29010.25333333333</v>
      </c>
      <c r="J55" s="98" t="s">
        <v>200</v>
      </c>
      <c r="K55" s="97">
        <v>0</v>
      </c>
      <c r="L55" s="98">
        <v>0</v>
      </c>
    </row>
    <row r="56" spans="1:12" ht="45" x14ac:dyDescent="0.25">
      <c r="A56" s="96" t="s">
        <v>54</v>
      </c>
      <c r="B56" s="96" t="s">
        <v>71</v>
      </c>
      <c r="C56" s="96" t="s">
        <v>164</v>
      </c>
      <c r="D56" s="97">
        <v>4318.2315789473687</v>
      </c>
      <c r="E56" s="97">
        <v>4318.2315789473687</v>
      </c>
      <c r="F56" s="98" t="s">
        <v>186</v>
      </c>
      <c r="G56" s="97">
        <v>4318.2315789473687</v>
      </c>
      <c r="H56" s="98" t="s">
        <v>186</v>
      </c>
      <c r="I56" s="97">
        <v>4318.2315789473687</v>
      </c>
      <c r="J56" s="98" t="s">
        <v>186</v>
      </c>
      <c r="K56" s="97">
        <v>4318.2315789473687</v>
      </c>
      <c r="L56" s="98">
        <v>1</v>
      </c>
    </row>
    <row r="57" spans="1:12" ht="45" x14ac:dyDescent="0.25">
      <c r="A57" s="96" t="s">
        <v>54</v>
      </c>
      <c r="B57" s="96" t="s">
        <v>71</v>
      </c>
      <c r="C57" s="96" t="s">
        <v>165</v>
      </c>
      <c r="D57" s="97">
        <v>77728.168421052629</v>
      </c>
      <c r="E57" s="97">
        <v>0</v>
      </c>
      <c r="F57" s="98" t="s">
        <v>187</v>
      </c>
      <c r="G57" s="97">
        <v>0</v>
      </c>
      <c r="H57" s="98" t="s">
        <v>187</v>
      </c>
      <c r="I57" s="97">
        <v>0</v>
      </c>
      <c r="J57" s="98" t="s">
        <v>187</v>
      </c>
      <c r="K57" s="97">
        <v>0</v>
      </c>
      <c r="L57" s="98">
        <v>0</v>
      </c>
    </row>
    <row r="58" spans="1:12" ht="45" x14ac:dyDescent="0.25">
      <c r="A58" s="96" t="s">
        <v>54</v>
      </c>
      <c r="B58" s="96" t="s">
        <v>75</v>
      </c>
      <c r="C58" s="96" t="s">
        <v>164</v>
      </c>
      <c r="D58" s="97">
        <v>39028.926060606063</v>
      </c>
      <c r="E58" s="97">
        <v>2439.307878787879</v>
      </c>
      <c r="F58" s="98" t="s">
        <v>201</v>
      </c>
      <c r="G58" s="97">
        <v>2439.307878787879</v>
      </c>
      <c r="H58" s="98" t="s">
        <v>201</v>
      </c>
      <c r="I58" s="97">
        <v>2439.307878787879</v>
      </c>
      <c r="J58" s="98" t="s">
        <v>201</v>
      </c>
      <c r="K58" s="97">
        <v>0</v>
      </c>
      <c r="L58" s="98">
        <v>0</v>
      </c>
    </row>
    <row r="59" spans="1:12" ht="45" x14ac:dyDescent="0.25">
      <c r="A59" s="96" t="s">
        <v>54</v>
      </c>
      <c r="B59" s="96" t="s">
        <v>75</v>
      </c>
      <c r="C59" s="96" t="s">
        <v>165</v>
      </c>
      <c r="D59" s="97">
        <v>41468.23393939394</v>
      </c>
      <c r="E59" s="97">
        <v>0</v>
      </c>
      <c r="F59" s="98" t="s">
        <v>187</v>
      </c>
      <c r="G59" s="97">
        <v>0</v>
      </c>
      <c r="H59" s="98" t="s">
        <v>187</v>
      </c>
      <c r="I59" s="97">
        <v>0</v>
      </c>
      <c r="J59" s="98" t="s">
        <v>187</v>
      </c>
      <c r="K59" s="97">
        <v>0</v>
      </c>
      <c r="L59" s="98">
        <v>0</v>
      </c>
    </row>
    <row r="60" spans="1:12" ht="45" x14ac:dyDescent="0.25">
      <c r="A60" s="96" t="s">
        <v>54</v>
      </c>
      <c r="B60" s="96" t="s">
        <v>81</v>
      </c>
      <c r="C60" s="96" t="s">
        <v>164</v>
      </c>
      <c r="D60" s="97">
        <v>34234.699999999997</v>
      </c>
      <c r="E60" s="97">
        <v>0</v>
      </c>
      <c r="F60" s="98" t="s">
        <v>187</v>
      </c>
      <c r="G60" s="97">
        <v>0</v>
      </c>
      <c r="H60" s="98" t="s">
        <v>187</v>
      </c>
      <c r="I60" s="97">
        <v>0</v>
      </c>
      <c r="J60" s="98" t="s">
        <v>187</v>
      </c>
      <c r="K60" s="97">
        <v>0</v>
      </c>
      <c r="L60" s="98">
        <v>0</v>
      </c>
    </row>
    <row r="61" spans="1:12" ht="45" x14ac:dyDescent="0.25">
      <c r="A61" s="96" t="s">
        <v>54</v>
      </c>
      <c r="B61" s="96" t="s">
        <v>81</v>
      </c>
      <c r="C61" s="96" t="s">
        <v>165</v>
      </c>
      <c r="D61" s="97">
        <v>54775.51999999999</v>
      </c>
      <c r="E61" s="97">
        <v>20540.819999999996</v>
      </c>
      <c r="F61" s="98" t="s">
        <v>202</v>
      </c>
      <c r="G61" s="97">
        <v>6846.9399999999987</v>
      </c>
      <c r="H61" s="98" t="s">
        <v>203</v>
      </c>
      <c r="I61" s="97">
        <v>6846.9399999999987</v>
      </c>
      <c r="J61" s="98" t="s">
        <v>203</v>
      </c>
      <c r="K61" s="97">
        <v>0</v>
      </c>
      <c r="L61" s="98">
        <v>0</v>
      </c>
    </row>
    <row r="62" spans="1:12" ht="45" x14ac:dyDescent="0.25">
      <c r="A62" s="96" t="s">
        <v>54</v>
      </c>
      <c r="B62" s="96" t="s">
        <v>85</v>
      </c>
      <c r="C62" s="96" t="s">
        <v>164</v>
      </c>
      <c r="D62" s="97">
        <v>45884.332000000009</v>
      </c>
      <c r="E62" s="97">
        <v>0</v>
      </c>
      <c r="F62" s="98" t="s">
        <v>187</v>
      </c>
      <c r="G62" s="97">
        <v>0</v>
      </c>
      <c r="H62" s="98" t="s">
        <v>187</v>
      </c>
      <c r="I62" s="97">
        <v>0</v>
      </c>
      <c r="J62" s="98" t="s">
        <v>187</v>
      </c>
      <c r="K62" s="97">
        <v>0</v>
      </c>
      <c r="L62" s="98">
        <v>0</v>
      </c>
    </row>
    <row r="63" spans="1:12" ht="45" x14ac:dyDescent="0.25">
      <c r="A63" s="96" t="s">
        <v>54</v>
      </c>
      <c r="B63" s="96" t="s">
        <v>85</v>
      </c>
      <c r="C63" s="96" t="s">
        <v>165</v>
      </c>
      <c r="D63" s="97">
        <v>42354.768000000011</v>
      </c>
      <c r="E63" s="97">
        <v>3529.5640000000008</v>
      </c>
      <c r="F63" s="98" t="s">
        <v>204</v>
      </c>
      <c r="G63" s="97">
        <v>3529.5640000000008</v>
      </c>
      <c r="H63" s="98" t="s">
        <v>204</v>
      </c>
      <c r="I63" s="97">
        <v>3529.5640000000008</v>
      </c>
      <c r="J63" s="98" t="s">
        <v>204</v>
      </c>
      <c r="K63" s="97">
        <v>0</v>
      </c>
      <c r="L63" s="98">
        <v>0</v>
      </c>
    </row>
    <row r="64" spans="1:12" ht="45" x14ac:dyDescent="0.25">
      <c r="A64" s="96" t="s">
        <v>54</v>
      </c>
      <c r="B64" s="96" t="s">
        <v>86</v>
      </c>
      <c r="C64" s="96" t="s">
        <v>164</v>
      </c>
      <c r="D64" s="97">
        <v>20377.497966666666</v>
      </c>
      <c r="E64" s="97">
        <v>3396.249661111111</v>
      </c>
      <c r="F64" s="98" t="s">
        <v>205</v>
      </c>
      <c r="G64" s="97">
        <v>0</v>
      </c>
      <c r="H64" s="98" t="s">
        <v>187</v>
      </c>
      <c r="I64" s="97">
        <v>0</v>
      </c>
      <c r="J64" s="98" t="s">
        <v>187</v>
      </c>
      <c r="K64" s="97">
        <v>0</v>
      </c>
      <c r="L64" s="98">
        <v>0</v>
      </c>
    </row>
    <row r="65" spans="1:12" ht="45" x14ac:dyDescent="0.25">
      <c r="A65" s="96" t="s">
        <v>54</v>
      </c>
      <c r="B65" s="96" t="s">
        <v>86</v>
      </c>
      <c r="C65" s="96" t="s">
        <v>165</v>
      </c>
      <c r="D65" s="97">
        <v>40754.995933333332</v>
      </c>
      <c r="E65" s="97">
        <v>3396.249661111111</v>
      </c>
      <c r="F65" s="98" t="s">
        <v>204</v>
      </c>
      <c r="G65" s="97">
        <v>3396.249661111111</v>
      </c>
      <c r="H65" s="98" t="s">
        <v>204</v>
      </c>
      <c r="I65" s="97">
        <v>0</v>
      </c>
      <c r="J65" s="98" t="s">
        <v>187</v>
      </c>
      <c r="K65" s="97">
        <v>0</v>
      </c>
      <c r="L65" s="98">
        <v>0</v>
      </c>
    </row>
    <row r="66" spans="1:12" ht="45" x14ac:dyDescent="0.25">
      <c r="A66" s="96" t="s">
        <v>54</v>
      </c>
      <c r="B66" s="96" t="s">
        <v>88</v>
      </c>
      <c r="C66" s="96" t="s">
        <v>164</v>
      </c>
      <c r="D66" s="97">
        <v>37721.30214</v>
      </c>
      <c r="E66" s="97">
        <v>13621.581328333334</v>
      </c>
      <c r="F66" s="98" t="s">
        <v>206</v>
      </c>
      <c r="G66" s="97">
        <v>12573.767379999999</v>
      </c>
      <c r="H66" s="98" t="s">
        <v>207</v>
      </c>
      <c r="I66" s="97">
        <v>9430.3255349999999</v>
      </c>
      <c r="J66" s="98" t="s">
        <v>208</v>
      </c>
      <c r="K66" s="97">
        <v>0</v>
      </c>
      <c r="L66" s="98">
        <v>0</v>
      </c>
    </row>
    <row r="67" spans="1:12" ht="45" x14ac:dyDescent="0.25">
      <c r="A67" s="96" t="s">
        <v>54</v>
      </c>
      <c r="B67" s="96" t="s">
        <v>88</v>
      </c>
      <c r="C67" s="96" t="s">
        <v>165</v>
      </c>
      <c r="D67" s="97">
        <v>25147.534760000002</v>
      </c>
      <c r="E67" s="97">
        <v>0</v>
      </c>
      <c r="F67" s="98" t="s">
        <v>187</v>
      </c>
      <c r="G67" s="97">
        <v>0</v>
      </c>
      <c r="H67" s="98" t="s">
        <v>187</v>
      </c>
      <c r="I67" s="97">
        <v>0</v>
      </c>
      <c r="J67" s="98" t="s">
        <v>187</v>
      </c>
      <c r="K67" s="97">
        <v>0</v>
      </c>
      <c r="L67" s="98">
        <v>0</v>
      </c>
    </row>
    <row r="68" spans="1:12" ht="45" x14ac:dyDescent="0.25">
      <c r="A68" s="96" t="s">
        <v>54</v>
      </c>
      <c r="B68" s="96" t="s">
        <v>91</v>
      </c>
      <c r="C68" s="96" t="s">
        <v>164</v>
      </c>
      <c r="D68" s="97">
        <v>51218.906666666669</v>
      </c>
      <c r="E68" s="97">
        <v>0</v>
      </c>
      <c r="F68" s="98" t="s">
        <v>187</v>
      </c>
      <c r="G68" s="97">
        <v>0</v>
      </c>
      <c r="H68" s="98" t="s">
        <v>187</v>
      </c>
      <c r="I68" s="97">
        <v>0</v>
      </c>
      <c r="J68" s="98" t="s">
        <v>187</v>
      </c>
      <c r="K68" s="97">
        <v>0</v>
      </c>
      <c r="L68" s="98">
        <v>0</v>
      </c>
    </row>
    <row r="69" spans="1:12" ht="45" x14ac:dyDescent="0.25">
      <c r="A69" s="96" t="s">
        <v>54</v>
      </c>
      <c r="B69" s="96" t="s">
        <v>91</v>
      </c>
      <c r="C69" s="96" t="s">
        <v>165</v>
      </c>
      <c r="D69" s="97">
        <v>25609.453333333335</v>
      </c>
      <c r="E69" s="97">
        <v>0</v>
      </c>
      <c r="F69" s="98" t="s">
        <v>187</v>
      </c>
      <c r="G69" s="97">
        <v>0</v>
      </c>
      <c r="H69" s="98" t="s">
        <v>187</v>
      </c>
      <c r="I69" s="97">
        <v>0</v>
      </c>
      <c r="J69" s="98" t="s">
        <v>187</v>
      </c>
      <c r="K69" s="97">
        <v>0</v>
      </c>
      <c r="L69" s="98">
        <v>0</v>
      </c>
    </row>
    <row r="70" spans="1:12" ht="30" x14ac:dyDescent="0.25">
      <c r="A70" s="98" t="s">
        <v>114</v>
      </c>
      <c r="B70" s="98" t="s">
        <v>114</v>
      </c>
      <c r="C70" s="98" t="s">
        <v>114</v>
      </c>
      <c r="D70" s="98" t="s">
        <v>209</v>
      </c>
      <c r="E70" s="98" t="s">
        <v>210</v>
      </c>
      <c r="F70" s="98" t="s">
        <v>114</v>
      </c>
      <c r="G70" s="98" t="s">
        <v>211</v>
      </c>
      <c r="H70" s="98" t="s">
        <v>114</v>
      </c>
      <c r="I70" s="98" t="s">
        <v>212</v>
      </c>
      <c r="J70" s="98" t="s">
        <v>114</v>
      </c>
      <c r="K70" s="98" t="s">
        <v>213</v>
      </c>
      <c r="L70" s="98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1:M27"/>
  <sheetViews>
    <sheetView workbookViewId="0">
      <selection activeCell="D6" sqref="D6:D7"/>
    </sheetView>
  </sheetViews>
  <sheetFormatPr defaultRowHeight="15" x14ac:dyDescent="0.25"/>
  <cols>
    <col min="3" max="3" width="11.5703125" bestFit="1" customWidth="1"/>
    <col min="4" max="4" width="19.7109375" bestFit="1" customWidth="1"/>
    <col min="5" max="5" width="9.5703125" bestFit="1" customWidth="1"/>
    <col min="6" max="7" width="12.7109375" customWidth="1"/>
    <col min="8" max="8" width="15.140625" customWidth="1"/>
    <col min="9" max="9" width="9.28515625" bestFit="1" customWidth="1"/>
    <col min="10" max="10" width="10.28515625" bestFit="1" customWidth="1"/>
    <col min="11" max="11" width="9.28515625" bestFit="1" customWidth="1"/>
    <col min="12" max="12" width="12.85546875" customWidth="1"/>
    <col min="13" max="13" width="9.28515625" bestFit="1" customWidth="1"/>
  </cols>
  <sheetData>
    <row r="1" spans="3:13" x14ac:dyDescent="0.25">
      <c r="C1" t="s">
        <v>173</v>
      </c>
      <c r="D1" t="s">
        <v>174</v>
      </c>
    </row>
    <row r="2" spans="3:13" x14ac:dyDescent="0.25">
      <c r="C2" t="s">
        <v>168</v>
      </c>
      <c r="D2" t="s">
        <v>166</v>
      </c>
    </row>
    <row r="3" spans="3:13" x14ac:dyDescent="0.25">
      <c r="C3" s="87">
        <v>76828.36</v>
      </c>
      <c r="D3" s="92">
        <v>0.05</v>
      </c>
      <c r="K3" s="86"/>
    </row>
    <row r="4" spans="3:13" x14ac:dyDescent="0.25">
      <c r="K4" s="86"/>
    </row>
    <row r="5" spans="3:13" x14ac:dyDescent="0.25">
      <c r="D5" t="s">
        <v>170</v>
      </c>
      <c r="F5" t="s">
        <v>171</v>
      </c>
      <c r="I5" t="s">
        <v>172</v>
      </c>
      <c r="K5" s="86"/>
    </row>
    <row r="6" spans="3:13" x14ac:dyDescent="0.25">
      <c r="C6" t="s">
        <v>169</v>
      </c>
      <c r="D6" s="90">
        <v>37561.379999999997</v>
      </c>
      <c r="F6" s="90">
        <v>1866.87</v>
      </c>
      <c r="H6" t="s">
        <v>167</v>
      </c>
      <c r="I6" s="93">
        <f>F6/D6</f>
        <v>4.9701848015168769E-2</v>
      </c>
      <c r="J6" s="94"/>
    </row>
    <row r="7" spans="3:13" x14ac:dyDescent="0.25">
      <c r="C7" t="s">
        <v>175</v>
      </c>
      <c r="D7" s="91">
        <f>C3-D6</f>
        <v>39266.980000000003</v>
      </c>
      <c r="F7" s="91">
        <f>(C3*D3)-F6</f>
        <v>1974.5480000000002</v>
      </c>
      <c r="H7" t="s">
        <v>167</v>
      </c>
      <c r="I7" s="18">
        <f>F7/D7</f>
        <v>5.0285201459343197E-2</v>
      </c>
      <c r="J7" s="94"/>
    </row>
    <row r="9" spans="3:13" x14ac:dyDescent="0.25">
      <c r="D9">
        <v>47590</v>
      </c>
      <c r="F9">
        <v>37548</v>
      </c>
      <c r="H9" t="s">
        <v>167</v>
      </c>
      <c r="I9">
        <v>0.78898928346291242</v>
      </c>
    </row>
    <row r="10" spans="3:13" x14ac:dyDescent="0.25">
      <c r="D10">
        <v>55682.7</v>
      </c>
      <c r="F10">
        <v>37920.5</v>
      </c>
      <c r="H10" t="s">
        <v>167</v>
      </c>
      <c r="I10">
        <v>0.68101043950814166</v>
      </c>
    </row>
    <row r="11" spans="3:13" x14ac:dyDescent="0.25">
      <c r="J11" s="15"/>
    </row>
    <row r="12" spans="3:13" x14ac:dyDescent="0.25">
      <c r="L12" s="84"/>
      <c r="M12" s="15"/>
    </row>
    <row r="13" spans="3:13" x14ac:dyDescent="0.25">
      <c r="L13" s="15"/>
      <c r="M13" s="15"/>
    </row>
    <row r="15" spans="3:13" x14ac:dyDescent="0.25">
      <c r="C15" t="s">
        <v>64</v>
      </c>
      <c r="D15" t="s">
        <v>164</v>
      </c>
      <c r="E15">
        <v>43515.38</v>
      </c>
      <c r="F15">
        <v>43515.38</v>
      </c>
      <c r="G15">
        <f>F15/$E$15</f>
        <v>1</v>
      </c>
      <c r="H15" s="89">
        <v>32636.534999999996</v>
      </c>
      <c r="I15">
        <f>H15/$E$15</f>
        <v>0.75</v>
      </c>
      <c r="J15">
        <v>7252.5633333333326</v>
      </c>
      <c r="K15">
        <f>J15/$E$15</f>
        <v>0.16666666666666666</v>
      </c>
      <c r="L15">
        <v>0</v>
      </c>
      <c r="M15">
        <f>L15/$E$15</f>
        <v>0</v>
      </c>
    </row>
    <row r="16" spans="3:13" x14ac:dyDescent="0.25">
      <c r="C16" s="85" t="s">
        <v>64</v>
      </c>
      <c r="D16" s="85" t="s">
        <v>65</v>
      </c>
      <c r="E16" s="88">
        <v>21757.69</v>
      </c>
      <c r="F16" s="88">
        <f>G16*$E$16</f>
        <v>21757.69</v>
      </c>
      <c r="G16" s="88">
        <v>1</v>
      </c>
      <c r="H16" s="88">
        <f>I16*$E$16</f>
        <v>10878.844999999999</v>
      </c>
      <c r="I16" s="88">
        <v>0.5</v>
      </c>
      <c r="J16" s="88">
        <f>K16*$E$16</f>
        <v>0</v>
      </c>
      <c r="K16" s="88">
        <v>0</v>
      </c>
      <c r="L16" s="88">
        <f>M16*$E$16</f>
        <v>0</v>
      </c>
      <c r="M16" s="88">
        <v>0</v>
      </c>
    </row>
    <row r="17" spans="3:13" x14ac:dyDescent="0.25">
      <c r="C17" s="85" t="s">
        <v>64</v>
      </c>
      <c r="D17" s="85" t="s">
        <v>66</v>
      </c>
      <c r="E17" s="88">
        <v>21757.69</v>
      </c>
      <c r="F17" s="88">
        <v>21757.69</v>
      </c>
      <c r="G17" s="88">
        <v>1</v>
      </c>
      <c r="H17" s="88">
        <v>21757.69</v>
      </c>
      <c r="I17" s="88">
        <v>1</v>
      </c>
      <c r="J17" s="88">
        <v>7252.5633333333326</v>
      </c>
      <c r="K17" s="88">
        <v>0.33333333333333331</v>
      </c>
      <c r="L17" s="88">
        <v>0</v>
      </c>
      <c r="M17" s="88">
        <v>0</v>
      </c>
    </row>
    <row r="18" spans="3:13" x14ac:dyDescent="0.25">
      <c r="C18" s="85" t="s">
        <v>64</v>
      </c>
      <c r="D18" s="85" t="s">
        <v>63</v>
      </c>
      <c r="E18" s="88">
        <v>21757.69</v>
      </c>
      <c r="F18" s="88">
        <v>19581.920999999998</v>
      </c>
      <c r="G18" s="88">
        <v>0.9</v>
      </c>
      <c r="H18" s="88">
        <v>19581.920999999998</v>
      </c>
      <c r="I18" s="88">
        <v>0.9</v>
      </c>
      <c r="J18" s="88">
        <v>19581.920999999998</v>
      </c>
      <c r="K18" s="88">
        <v>0.9</v>
      </c>
      <c r="L18" s="88">
        <v>0</v>
      </c>
      <c r="M18" s="88">
        <v>0</v>
      </c>
    </row>
    <row r="19" spans="3:13" x14ac:dyDescent="0.25">
      <c r="C19" s="85" t="s">
        <v>64</v>
      </c>
      <c r="D19" s="85" t="s">
        <v>67</v>
      </c>
      <c r="E19" s="88">
        <v>21757.69</v>
      </c>
      <c r="F19" s="88">
        <v>19779.718181818182</v>
      </c>
      <c r="G19" s="88">
        <v>0.90909090909090917</v>
      </c>
      <c r="H19" s="88">
        <v>19779.718181818182</v>
      </c>
      <c r="I19" s="88">
        <v>0.90909090909090917</v>
      </c>
      <c r="J19" s="88">
        <v>11867.830909090908</v>
      </c>
      <c r="K19" s="88">
        <v>0.54545454545454541</v>
      </c>
      <c r="L19" s="88">
        <v>0</v>
      </c>
      <c r="M19" s="88">
        <v>0</v>
      </c>
    </row>
    <row r="20" spans="3:13" x14ac:dyDescent="0.25">
      <c r="C20" t="s">
        <v>64</v>
      </c>
      <c r="D20" t="s">
        <v>165</v>
      </c>
      <c r="E20" s="89">
        <v>43515.38</v>
      </c>
      <c r="F20">
        <v>39361.63918181818</v>
      </c>
      <c r="G20">
        <v>0.90454545454545454</v>
      </c>
      <c r="H20">
        <v>39361.63918181818</v>
      </c>
      <c r="I20">
        <v>0.90454545454545454</v>
      </c>
      <c r="J20">
        <v>31449.751909090905</v>
      </c>
      <c r="K20">
        <v>0.72272727272727266</v>
      </c>
      <c r="L20">
        <v>0</v>
      </c>
      <c r="M20">
        <v>0</v>
      </c>
    </row>
    <row r="22" spans="3:13" x14ac:dyDescent="0.25">
      <c r="C22" t="s">
        <v>64</v>
      </c>
      <c r="D22" t="s">
        <v>164</v>
      </c>
      <c r="E22">
        <v>43515.38</v>
      </c>
      <c r="F22">
        <v>43515.38</v>
      </c>
      <c r="G22">
        <v>1</v>
      </c>
      <c r="H22">
        <v>32636.534999999996</v>
      </c>
      <c r="I22">
        <v>0.75</v>
      </c>
      <c r="J22">
        <v>7252.5633333333326</v>
      </c>
      <c r="K22">
        <v>0.16666666666666666</v>
      </c>
      <c r="L22">
        <v>0</v>
      </c>
      <c r="M22">
        <v>0</v>
      </c>
    </row>
    <row r="23" spans="3:13" x14ac:dyDescent="0.25">
      <c r="C23" t="s">
        <v>64</v>
      </c>
      <c r="D23" t="s">
        <v>165</v>
      </c>
      <c r="E23">
        <v>43515.38</v>
      </c>
      <c r="F23">
        <v>39361.63918181818</v>
      </c>
      <c r="G23">
        <v>0.90454545454545454</v>
      </c>
      <c r="H23">
        <v>39361.63918181818</v>
      </c>
      <c r="I23">
        <v>0.90454545454545454</v>
      </c>
      <c r="J23">
        <v>31449.751909090905</v>
      </c>
      <c r="K23">
        <v>0.72272727272727266</v>
      </c>
      <c r="L23">
        <v>0</v>
      </c>
      <c r="M23">
        <v>0</v>
      </c>
    </row>
    <row r="26" spans="3:13" x14ac:dyDescent="0.25">
      <c r="C26" t="s">
        <v>71</v>
      </c>
      <c r="D26" t="s">
        <v>164</v>
      </c>
      <c r="E26">
        <v>41278.99</v>
      </c>
      <c r="F26">
        <v>41278.99</v>
      </c>
      <c r="G26">
        <v>1</v>
      </c>
      <c r="H26">
        <v>41278.99</v>
      </c>
      <c r="I26">
        <v>1</v>
      </c>
      <c r="J26">
        <v>41278.99</v>
      </c>
      <c r="K26">
        <v>1</v>
      </c>
      <c r="L26">
        <v>41278.99</v>
      </c>
      <c r="M26">
        <v>1</v>
      </c>
    </row>
    <row r="27" spans="3:13" x14ac:dyDescent="0.25">
      <c r="C27" t="s">
        <v>71</v>
      </c>
      <c r="D27" t="s">
        <v>165</v>
      </c>
      <c r="E27">
        <v>40767.410000000011</v>
      </c>
      <c r="F27">
        <v>40767.410000000011</v>
      </c>
      <c r="G27">
        <v>1</v>
      </c>
      <c r="H27">
        <v>40767.410000000011</v>
      </c>
      <c r="I27">
        <v>1</v>
      </c>
      <c r="J27">
        <v>40767.410000000011</v>
      </c>
      <c r="K27">
        <v>1</v>
      </c>
      <c r="L27">
        <v>40767.410000000011</v>
      </c>
      <c r="M27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61"/>
  <sheetViews>
    <sheetView topLeftCell="A32" workbookViewId="0">
      <selection activeCell="A2" sqref="A2:L60"/>
    </sheetView>
  </sheetViews>
  <sheetFormatPr defaultRowHeight="15" x14ac:dyDescent="0.25"/>
  <sheetData>
    <row r="1" spans="1:12" x14ac:dyDescent="0.25">
      <c r="A1" s="78" t="s">
        <v>102</v>
      </c>
      <c r="B1" s="78" t="s">
        <v>103</v>
      </c>
      <c r="C1" s="78" t="s">
        <v>104</v>
      </c>
      <c r="D1" s="78" t="s">
        <v>105</v>
      </c>
      <c r="E1" s="78" t="s">
        <v>106</v>
      </c>
      <c r="F1" s="78" t="s">
        <v>107</v>
      </c>
      <c r="G1" s="78" t="s">
        <v>108</v>
      </c>
      <c r="H1" s="78" t="s">
        <v>109</v>
      </c>
      <c r="I1" s="78" t="s">
        <v>110</v>
      </c>
      <c r="J1" s="78" t="s">
        <v>111</v>
      </c>
      <c r="K1" s="78" t="s">
        <v>112</v>
      </c>
      <c r="L1" s="78" t="s">
        <v>113</v>
      </c>
    </row>
    <row r="2" spans="1:12" x14ac:dyDescent="0.25">
      <c r="A2" s="79" t="s">
        <v>54</v>
      </c>
      <c r="B2" s="79" t="s">
        <v>82</v>
      </c>
      <c r="C2" s="79" t="s">
        <v>83</v>
      </c>
      <c r="D2" s="80">
        <v>61696.523999999998</v>
      </c>
      <c r="E2" s="80">
        <v>61696.523999999998</v>
      </c>
      <c r="F2" s="81">
        <v>1</v>
      </c>
      <c r="G2" s="80">
        <v>61696.523999999998</v>
      </c>
      <c r="H2" s="81">
        <v>1</v>
      </c>
      <c r="I2" s="80">
        <v>61696.523999999998</v>
      </c>
      <c r="J2" s="81">
        <v>1</v>
      </c>
      <c r="K2" s="80">
        <v>0</v>
      </c>
      <c r="L2" s="81">
        <v>0</v>
      </c>
    </row>
    <row r="3" spans="1:12" x14ac:dyDescent="0.25">
      <c r="A3" s="79" t="s">
        <v>54</v>
      </c>
      <c r="B3" s="79" t="s">
        <v>84</v>
      </c>
      <c r="C3" s="79" t="s">
        <v>83</v>
      </c>
      <c r="D3" s="80">
        <v>61512.597399999991</v>
      </c>
      <c r="E3" s="80">
        <v>61512.597399999991</v>
      </c>
      <c r="F3" s="81">
        <v>1</v>
      </c>
      <c r="G3" s="80">
        <v>0</v>
      </c>
      <c r="H3" s="81">
        <v>0</v>
      </c>
      <c r="I3" s="80">
        <v>0</v>
      </c>
      <c r="J3" s="81">
        <v>0</v>
      </c>
      <c r="K3" s="80">
        <v>0</v>
      </c>
      <c r="L3" s="81">
        <v>0</v>
      </c>
    </row>
    <row r="4" spans="1:12" x14ac:dyDescent="0.25">
      <c r="A4" s="79" t="s">
        <v>54</v>
      </c>
      <c r="B4" s="79" t="s">
        <v>94</v>
      </c>
      <c r="C4" s="79" t="s">
        <v>101</v>
      </c>
      <c r="D4" s="80">
        <v>116529.74</v>
      </c>
      <c r="E4" s="80">
        <v>58264.87</v>
      </c>
      <c r="F4" s="81">
        <v>0.5</v>
      </c>
      <c r="G4" s="80">
        <v>34958.921999999999</v>
      </c>
      <c r="H4" s="81">
        <v>0.3</v>
      </c>
      <c r="I4" s="80">
        <v>23305.948000000004</v>
      </c>
      <c r="J4" s="81">
        <v>0.2</v>
      </c>
      <c r="K4" s="80">
        <v>0</v>
      </c>
      <c r="L4" s="81">
        <v>0</v>
      </c>
    </row>
    <row r="5" spans="1:12" ht="30" x14ac:dyDescent="0.25">
      <c r="A5" s="79" t="s">
        <v>54</v>
      </c>
      <c r="B5" s="79" t="s">
        <v>79</v>
      </c>
      <c r="C5" s="79" t="s">
        <v>59</v>
      </c>
      <c r="D5" s="80">
        <v>66526.931673225015</v>
      </c>
      <c r="E5" s="80">
        <v>66526.931673225015</v>
      </c>
      <c r="F5" s="81">
        <v>1</v>
      </c>
      <c r="G5" s="80">
        <v>66526.931673225015</v>
      </c>
      <c r="H5" s="81">
        <v>1</v>
      </c>
      <c r="I5" s="80">
        <v>66526.931673225015</v>
      </c>
      <c r="J5" s="81">
        <v>1</v>
      </c>
      <c r="K5" s="80">
        <v>0</v>
      </c>
      <c r="L5" s="81">
        <v>0</v>
      </c>
    </row>
    <row r="6" spans="1:12" ht="30" x14ac:dyDescent="0.25">
      <c r="A6" s="79" t="s">
        <v>54</v>
      </c>
      <c r="B6" s="79" t="s">
        <v>80</v>
      </c>
      <c r="C6" s="79" t="s">
        <v>59</v>
      </c>
      <c r="D6" s="80">
        <v>27322.570000000014</v>
      </c>
      <c r="E6" s="80">
        <v>27322.570000000014</v>
      </c>
      <c r="F6" s="81">
        <v>1</v>
      </c>
      <c r="G6" s="80">
        <v>27322.570000000014</v>
      </c>
      <c r="H6" s="81">
        <v>1</v>
      </c>
      <c r="I6" s="80">
        <v>27322.570000000014</v>
      </c>
      <c r="J6" s="81">
        <v>1</v>
      </c>
      <c r="K6" s="80">
        <v>0</v>
      </c>
      <c r="L6" s="81">
        <v>0</v>
      </c>
    </row>
    <row r="7" spans="1:12" ht="30" x14ac:dyDescent="0.25">
      <c r="A7" s="79" t="s">
        <v>54</v>
      </c>
      <c r="B7" s="79" t="s">
        <v>89</v>
      </c>
      <c r="C7" s="79" t="s">
        <v>59</v>
      </c>
      <c r="D7" s="80">
        <v>7738.9</v>
      </c>
      <c r="E7" s="82"/>
      <c r="F7" s="82"/>
      <c r="G7" s="82"/>
      <c r="H7" s="82"/>
      <c r="I7" s="82"/>
      <c r="J7" s="82"/>
      <c r="K7" s="80">
        <v>0</v>
      </c>
      <c r="L7" s="81">
        <v>0</v>
      </c>
    </row>
    <row r="8" spans="1:12" ht="30" x14ac:dyDescent="0.25">
      <c r="A8" s="79" t="s">
        <v>54</v>
      </c>
      <c r="B8" s="79" t="s">
        <v>90</v>
      </c>
      <c r="C8" s="79" t="s">
        <v>59</v>
      </c>
      <c r="D8" s="80">
        <v>12606.7</v>
      </c>
      <c r="E8" s="80">
        <v>12606.7</v>
      </c>
      <c r="F8" s="81">
        <v>1</v>
      </c>
      <c r="G8" s="80">
        <v>12606.7</v>
      </c>
      <c r="H8" s="81">
        <v>1</v>
      </c>
      <c r="I8" s="80">
        <v>12606.7</v>
      </c>
      <c r="J8" s="81">
        <v>1</v>
      </c>
      <c r="K8" s="80">
        <v>0</v>
      </c>
      <c r="L8" s="81">
        <v>0</v>
      </c>
    </row>
    <row r="9" spans="1:12" ht="30" x14ac:dyDescent="0.25">
      <c r="A9" s="79" t="s">
        <v>54</v>
      </c>
      <c r="B9" s="79" t="s">
        <v>87</v>
      </c>
      <c r="C9" s="79" t="s">
        <v>59</v>
      </c>
      <c r="D9" s="80">
        <v>11821.4</v>
      </c>
      <c r="E9" s="80">
        <v>11821.4</v>
      </c>
      <c r="F9" s="81">
        <v>1</v>
      </c>
      <c r="G9" s="80">
        <v>11821.4</v>
      </c>
      <c r="H9" s="81">
        <v>1</v>
      </c>
      <c r="I9" s="80">
        <v>11821.4</v>
      </c>
      <c r="J9" s="81">
        <v>1</v>
      </c>
      <c r="K9" s="80">
        <v>216.72407407407408</v>
      </c>
      <c r="L9" s="81">
        <v>1.833319861218418E-2</v>
      </c>
    </row>
    <row r="10" spans="1:12" ht="30" x14ac:dyDescent="0.25">
      <c r="A10" s="79" t="s">
        <v>54</v>
      </c>
      <c r="B10" s="79" t="s">
        <v>93</v>
      </c>
      <c r="C10" s="79" t="s">
        <v>59</v>
      </c>
      <c r="D10" s="80">
        <v>13649.20000000001</v>
      </c>
      <c r="E10" s="80">
        <v>13649.20000000001</v>
      </c>
      <c r="F10" s="81">
        <v>1</v>
      </c>
      <c r="G10" s="80">
        <v>13649.20000000001</v>
      </c>
      <c r="H10" s="81">
        <v>1</v>
      </c>
      <c r="I10" s="80">
        <v>13649.20000000001</v>
      </c>
      <c r="J10" s="81">
        <v>1</v>
      </c>
      <c r="K10" s="80">
        <v>0</v>
      </c>
      <c r="L10" s="81">
        <v>0</v>
      </c>
    </row>
    <row r="11" spans="1:12" ht="30" x14ac:dyDescent="0.25">
      <c r="A11" s="79" t="s">
        <v>54</v>
      </c>
      <c r="B11" s="79" t="s">
        <v>58</v>
      </c>
      <c r="C11" s="79" t="s">
        <v>59</v>
      </c>
      <c r="D11" s="80">
        <v>18015.7</v>
      </c>
      <c r="E11" s="80">
        <v>18015.7</v>
      </c>
      <c r="F11" s="81">
        <v>1</v>
      </c>
      <c r="G11" s="80">
        <v>18015.7</v>
      </c>
      <c r="H11" s="81">
        <v>1</v>
      </c>
      <c r="I11" s="80">
        <v>18015.7</v>
      </c>
      <c r="J11" s="81">
        <v>1</v>
      </c>
      <c r="K11" s="80">
        <v>4230.9227077085816</v>
      </c>
      <c r="L11" s="81">
        <v>0.23484642327017999</v>
      </c>
    </row>
    <row r="12" spans="1:12" ht="30" x14ac:dyDescent="0.25">
      <c r="A12" s="79" t="s">
        <v>54</v>
      </c>
      <c r="B12" s="79" t="s">
        <v>77</v>
      </c>
      <c r="C12" s="79" t="s">
        <v>59</v>
      </c>
      <c r="D12" s="80">
        <v>14499.95</v>
      </c>
      <c r="E12" s="80">
        <v>14499.95</v>
      </c>
      <c r="F12" s="81">
        <v>1</v>
      </c>
      <c r="G12" s="80">
        <v>14499.95</v>
      </c>
      <c r="H12" s="81">
        <v>1</v>
      </c>
      <c r="I12" s="80">
        <v>14499.95</v>
      </c>
      <c r="J12" s="81">
        <v>1</v>
      </c>
      <c r="K12" s="80">
        <v>4423.4099160559299</v>
      </c>
      <c r="L12" s="81">
        <v>0.3050638047755978</v>
      </c>
    </row>
    <row r="13" spans="1:12" x14ac:dyDescent="0.25">
      <c r="A13" s="79" t="s">
        <v>54</v>
      </c>
      <c r="B13" s="79" t="s">
        <v>62</v>
      </c>
      <c r="C13" s="79" t="s">
        <v>63</v>
      </c>
      <c r="D13" s="80">
        <v>103272.7</v>
      </c>
      <c r="E13" s="80">
        <v>83601.709523809521</v>
      </c>
      <c r="F13" s="81">
        <v>0.80952380952380953</v>
      </c>
      <c r="G13" s="80">
        <v>73766.21428571429</v>
      </c>
      <c r="H13" s="81">
        <v>0.7142857142857143</v>
      </c>
      <c r="I13" s="80">
        <v>59012.971428571422</v>
      </c>
      <c r="J13" s="81">
        <v>0.5714285714285714</v>
      </c>
      <c r="K13" s="80">
        <v>0</v>
      </c>
      <c r="L13" s="81">
        <v>0</v>
      </c>
    </row>
    <row r="14" spans="1:12" x14ac:dyDescent="0.25">
      <c r="A14" s="79" t="s">
        <v>54</v>
      </c>
      <c r="B14" s="79" t="s">
        <v>64</v>
      </c>
      <c r="C14" s="79" t="s">
        <v>65</v>
      </c>
      <c r="D14" s="80">
        <v>21757.69</v>
      </c>
      <c r="E14" s="80">
        <v>21757.69</v>
      </c>
      <c r="F14" s="81">
        <v>1</v>
      </c>
      <c r="G14" s="80">
        <v>10878.844999999999</v>
      </c>
      <c r="H14" s="81">
        <v>0.5</v>
      </c>
      <c r="I14" s="80">
        <v>0</v>
      </c>
      <c r="J14" s="81">
        <v>0</v>
      </c>
      <c r="K14" s="80">
        <v>2607.4421395327126</v>
      </c>
      <c r="L14" s="81">
        <v>0.11984002619454145</v>
      </c>
    </row>
    <row r="15" spans="1:12" x14ac:dyDescent="0.25">
      <c r="A15" s="79" t="s">
        <v>54</v>
      </c>
      <c r="B15" s="79" t="s">
        <v>64</v>
      </c>
      <c r="C15" s="79" t="s">
        <v>66</v>
      </c>
      <c r="D15" s="80">
        <v>21757.69</v>
      </c>
      <c r="E15" s="80">
        <v>21757.69</v>
      </c>
      <c r="F15" s="81">
        <v>1</v>
      </c>
      <c r="G15" s="80">
        <v>21757.69</v>
      </c>
      <c r="H15" s="81">
        <v>1</v>
      </c>
      <c r="I15" s="80">
        <v>7252.5633333333326</v>
      </c>
      <c r="J15" s="81">
        <v>0.33333333333333331</v>
      </c>
      <c r="K15" s="80">
        <v>0</v>
      </c>
      <c r="L15" s="81">
        <v>0</v>
      </c>
    </row>
    <row r="16" spans="1:12" x14ac:dyDescent="0.25">
      <c r="A16" s="79" t="s">
        <v>54</v>
      </c>
      <c r="B16" s="79" t="s">
        <v>64</v>
      </c>
      <c r="C16" s="79" t="s">
        <v>63</v>
      </c>
      <c r="D16" s="80">
        <v>21757.69</v>
      </c>
      <c r="E16" s="80">
        <v>19581.920999999998</v>
      </c>
      <c r="F16" s="81">
        <v>0.9</v>
      </c>
      <c r="G16" s="80">
        <v>19581.920999999998</v>
      </c>
      <c r="H16" s="81">
        <v>0.9</v>
      </c>
      <c r="I16" s="80">
        <v>19581.920999999998</v>
      </c>
      <c r="J16" s="81">
        <v>0.9</v>
      </c>
      <c r="K16" s="80">
        <v>0</v>
      </c>
      <c r="L16" s="81">
        <v>0</v>
      </c>
    </row>
    <row r="17" spans="1:12" x14ac:dyDescent="0.25">
      <c r="A17" s="79" t="s">
        <v>54</v>
      </c>
      <c r="B17" s="79" t="s">
        <v>64</v>
      </c>
      <c r="C17" s="79" t="s">
        <v>67</v>
      </c>
      <c r="D17" s="80">
        <v>21757.69</v>
      </c>
      <c r="E17" s="80">
        <v>19779.718181818182</v>
      </c>
      <c r="F17" s="81">
        <v>0.90909090909090906</v>
      </c>
      <c r="G17" s="80">
        <v>19779.718181818182</v>
      </c>
      <c r="H17" s="81">
        <v>0.90909090909090906</v>
      </c>
      <c r="I17" s="80">
        <v>11867.830909090908</v>
      </c>
      <c r="J17" s="81">
        <v>0.54545454545454541</v>
      </c>
      <c r="K17" s="80">
        <v>0</v>
      </c>
      <c r="L17" s="81">
        <v>0</v>
      </c>
    </row>
    <row r="18" spans="1:12" x14ac:dyDescent="0.25">
      <c r="A18" s="79" t="s">
        <v>54</v>
      </c>
      <c r="B18" s="79" t="s">
        <v>71</v>
      </c>
      <c r="C18" s="79" t="s">
        <v>63</v>
      </c>
      <c r="D18" s="80">
        <v>82046.400000000009</v>
      </c>
      <c r="E18" s="80">
        <v>82046.400000000009</v>
      </c>
      <c r="F18" s="81">
        <v>1</v>
      </c>
      <c r="G18" s="80">
        <v>82046.400000000009</v>
      </c>
      <c r="H18" s="81">
        <v>1</v>
      </c>
      <c r="I18" s="80">
        <v>82046.400000000009</v>
      </c>
      <c r="J18" s="81">
        <v>1</v>
      </c>
      <c r="K18" s="80">
        <v>0</v>
      </c>
      <c r="L18" s="81">
        <v>0</v>
      </c>
    </row>
    <row r="19" spans="1:12" x14ac:dyDescent="0.25">
      <c r="A19" s="79" t="s">
        <v>54</v>
      </c>
      <c r="B19" s="79" t="s">
        <v>75</v>
      </c>
      <c r="C19" s="79" t="s">
        <v>76</v>
      </c>
      <c r="D19" s="80">
        <v>80497.16</v>
      </c>
      <c r="E19" s="80">
        <v>80497.16</v>
      </c>
      <c r="F19" s="81">
        <v>1</v>
      </c>
      <c r="G19" s="80">
        <v>80497.16</v>
      </c>
      <c r="H19" s="81">
        <v>1</v>
      </c>
      <c r="I19" s="80">
        <v>80497.16</v>
      </c>
      <c r="J19" s="81">
        <v>1</v>
      </c>
      <c r="K19" s="80">
        <v>0</v>
      </c>
      <c r="L19" s="81">
        <v>0</v>
      </c>
    </row>
    <row r="20" spans="1:12" x14ac:dyDescent="0.25">
      <c r="A20" s="79" t="s">
        <v>54</v>
      </c>
      <c r="B20" s="79" t="s">
        <v>81</v>
      </c>
      <c r="C20" s="79" t="s">
        <v>30</v>
      </c>
      <c r="D20" s="80">
        <v>89010.219999999987</v>
      </c>
      <c r="E20" s="80">
        <v>89010.219999999987</v>
      </c>
      <c r="F20" s="81">
        <v>1</v>
      </c>
      <c r="G20" s="80">
        <v>89010.219999999987</v>
      </c>
      <c r="H20" s="81">
        <v>1</v>
      </c>
      <c r="I20" s="80">
        <v>89010.219999999987</v>
      </c>
      <c r="J20" s="81">
        <v>1</v>
      </c>
      <c r="K20" s="80">
        <v>0</v>
      </c>
      <c r="L20" s="81">
        <v>0</v>
      </c>
    </row>
    <row r="21" spans="1:12" x14ac:dyDescent="0.25">
      <c r="A21" s="79" t="s">
        <v>54</v>
      </c>
      <c r="B21" s="79" t="s">
        <v>85</v>
      </c>
      <c r="C21" s="79" t="s">
        <v>30</v>
      </c>
      <c r="D21" s="80">
        <v>88239.10000000002</v>
      </c>
      <c r="E21" s="80">
        <v>88239.10000000002</v>
      </c>
      <c r="F21" s="81">
        <v>1</v>
      </c>
      <c r="G21" s="80">
        <v>88239.10000000002</v>
      </c>
      <c r="H21" s="81">
        <v>1</v>
      </c>
      <c r="I21" s="80">
        <v>88239.10000000002</v>
      </c>
      <c r="J21" s="81">
        <v>1</v>
      </c>
      <c r="K21" s="80">
        <v>0</v>
      </c>
      <c r="L21" s="81">
        <v>0</v>
      </c>
    </row>
    <row r="22" spans="1:12" x14ac:dyDescent="0.25">
      <c r="A22" s="79" t="s">
        <v>54</v>
      </c>
      <c r="B22" s="79" t="s">
        <v>86</v>
      </c>
      <c r="C22" s="79" t="s">
        <v>30</v>
      </c>
      <c r="D22" s="80">
        <v>61132.493900000001</v>
      </c>
      <c r="E22" s="80">
        <v>61132.493900000001</v>
      </c>
      <c r="F22" s="81">
        <v>1</v>
      </c>
      <c r="G22" s="80">
        <v>61132.493900000001</v>
      </c>
      <c r="H22" s="81">
        <v>1</v>
      </c>
      <c r="I22" s="80">
        <v>0</v>
      </c>
      <c r="J22" s="81">
        <v>0</v>
      </c>
      <c r="K22" s="80">
        <v>0</v>
      </c>
      <c r="L22" s="81">
        <v>0</v>
      </c>
    </row>
    <row r="23" spans="1:12" x14ac:dyDescent="0.25">
      <c r="A23" s="79" t="s">
        <v>54</v>
      </c>
      <c r="B23" s="79" t="s">
        <v>88</v>
      </c>
      <c r="C23" s="79" t="s">
        <v>63</v>
      </c>
      <c r="D23" s="80">
        <v>62868.84</v>
      </c>
      <c r="E23" s="80">
        <v>20432.373</v>
      </c>
      <c r="F23" s="81">
        <v>0.32500000000000001</v>
      </c>
      <c r="G23" s="80">
        <v>18860.651999999998</v>
      </c>
      <c r="H23" s="81">
        <v>0.3</v>
      </c>
      <c r="I23" s="80">
        <v>14145.489</v>
      </c>
      <c r="J23" s="81">
        <v>0.22500000000000001</v>
      </c>
      <c r="K23" s="80">
        <v>0</v>
      </c>
      <c r="L23" s="81">
        <v>0</v>
      </c>
    </row>
    <row r="24" spans="1:12" x14ac:dyDescent="0.25">
      <c r="A24" s="79" t="s">
        <v>54</v>
      </c>
      <c r="B24" s="79" t="s">
        <v>91</v>
      </c>
      <c r="C24" s="79" t="s">
        <v>63</v>
      </c>
      <c r="D24" s="80">
        <v>76828.36</v>
      </c>
      <c r="E24" s="80">
        <v>0</v>
      </c>
      <c r="F24" s="81">
        <v>0</v>
      </c>
      <c r="G24" s="80">
        <v>0</v>
      </c>
      <c r="H24" s="81">
        <v>0</v>
      </c>
      <c r="I24" s="80">
        <v>0</v>
      </c>
      <c r="J24" s="81">
        <v>0</v>
      </c>
      <c r="K24" s="80">
        <v>0</v>
      </c>
      <c r="L24" s="81">
        <v>0</v>
      </c>
    </row>
    <row r="25" spans="1:12" x14ac:dyDescent="0.25">
      <c r="A25" s="79" t="s">
        <v>27</v>
      </c>
      <c r="B25" s="79" t="s">
        <v>28</v>
      </c>
      <c r="C25" s="79" t="s">
        <v>30</v>
      </c>
      <c r="D25" s="80">
        <v>166217.75</v>
      </c>
      <c r="E25" s="80">
        <v>166217.75</v>
      </c>
      <c r="F25" s="81">
        <v>1</v>
      </c>
      <c r="G25" s="80">
        <v>166217.75</v>
      </c>
      <c r="H25" s="81">
        <v>1</v>
      </c>
      <c r="I25" s="80">
        <v>166217.75</v>
      </c>
      <c r="J25" s="81">
        <v>1</v>
      </c>
      <c r="K25" s="80">
        <v>0</v>
      </c>
      <c r="L25" s="81">
        <v>0</v>
      </c>
    </row>
    <row r="26" spans="1:12" ht="45" x14ac:dyDescent="0.25">
      <c r="A26" s="79" t="s">
        <v>27</v>
      </c>
      <c r="B26" s="79" t="s">
        <v>96</v>
      </c>
      <c r="C26" s="79" t="s">
        <v>32</v>
      </c>
      <c r="D26" s="80">
        <v>10000</v>
      </c>
      <c r="E26" s="80">
        <v>10000</v>
      </c>
      <c r="F26" s="81">
        <v>1</v>
      </c>
      <c r="G26" s="80">
        <v>10000</v>
      </c>
      <c r="H26" s="81">
        <v>1</v>
      </c>
      <c r="I26" s="80">
        <v>10000</v>
      </c>
      <c r="J26" s="81">
        <v>1</v>
      </c>
      <c r="K26" s="82"/>
      <c r="L26" s="82"/>
    </row>
    <row r="27" spans="1:12" x14ac:dyDescent="0.25">
      <c r="A27" s="79" t="s">
        <v>27</v>
      </c>
      <c r="B27" s="79" t="s">
        <v>31</v>
      </c>
      <c r="C27" s="79" t="s">
        <v>33</v>
      </c>
      <c r="D27" s="80">
        <v>105523.13032</v>
      </c>
      <c r="E27" s="80">
        <v>105523.13032</v>
      </c>
      <c r="F27" s="81">
        <v>1</v>
      </c>
      <c r="G27" s="80">
        <v>105523.13032</v>
      </c>
      <c r="H27" s="81">
        <v>1</v>
      </c>
      <c r="I27" s="80">
        <v>105523.13032</v>
      </c>
      <c r="J27" s="81">
        <v>1</v>
      </c>
      <c r="K27" s="80">
        <v>0</v>
      </c>
      <c r="L27" s="81">
        <v>0</v>
      </c>
    </row>
    <row r="28" spans="1:12" ht="45" x14ac:dyDescent="0.25">
      <c r="A28" s="79" t="s">
        <v>27</v>
      </c>
      <c r="B28" s="79" t="s">
        <v>97</v>
      </c>
      <c r="C28" s="79" t="s">
        <v>35</v>
      </c>
      <c r="D28" s="80">
        <v>8130</v>
      </c>
      <c r="E28" s="80">
        <v>8130</v>
      </c>
      <c r="F28" s="81">
        <v>1</v>
      </c>
      <c r="G28" s="80">
        <v>8130</v>
      </c>
      <c r="H28" s="81">
        <v>1</v>
      </c>
      <c r="I28" s="80">
        <v>8130</v>
      </c>
      <c r="J28" s="81">
        <v>1</v>
      </c>
      <c r="K28" s="82"/>
      <c r="L28" s="82"/>
    </row>
    <row r="29" spans="1:12" x14ac:dyDescent="0.25">
      <c r="A29" s="79" t="s">
        <v>27</v>
      </c>
      <c r="B29" s="79" t="s">
        <v>34</v>
      </c>
      <c r="C29" s="79" t="s">
        <v>36</v>
      </c>
      <c r="D29" s="80">
        <v>23734.43</v>
      </c>
      <c r="E29" s="80">
        <v>23734.43</v>
      </c>
      <c r="F29" s="81">
        <v>1</v>
      </c>
      <c r="G29" s="80">
        <v>23734.43</v>
      </c>
      <c r="H29" s="81">
        <v>1</v>
      </c>
      <c r="I29" s="80">
        <v>23734.43</v>
      </c>
      <c r="J29" s="81">
        <v>1</v>
      </c>
      <c r="K29" s="80">
        <v>23734.43</v>
      </c>
      <c r="L29" s="81">
        <v>1</v>
      </c>
    </row>
    <row r="30" spans="1:12" x14ac:dyDescent="0.25">
      <c r="A30" s="79" t="s">
        <v>27</v>
      </c>
      <c r="B30" s="79" t="s">
        <v>95</v>
      </c>
      <c r="C30" s="79" t="s">
        <v>29</v>
      </c>
      <c r="D30" s="80">
        <v>38873.682999999997</v>
      </c>
      <c r="E30" s="80">
        <v>38873.682999999997</v>
      </c>
      <c r="F30" s="81">
        <v>1</v>
      </c>
      <c r="G30" s="80">
        <v>38873.682999999997</v>
      </c>
      <c r="H30" s="81">
        <v>1</v>
      </c>
      <c r="I30" s="80">
        <v>38873.682999999997</v>
      </c>
      <c r="J30" s="81">
        <v>1</v>
      </c>
      <c r="K30" s="82"/>
      <c r="L30" s="82"/>
    </row>
    <row r="31" spans="1:12" x14ac:dyDescent="0.25">
      <c r="A31" s="79" t="s">
        <v>37</v>
      </c>
      <c r="B31" s="79" t="s">
        <v>38</v>
      </c>
      <c r="C31" s="79" t="s">
        <v>30</v>
      </c>
      <c r="D31" s="80">
        <v>176865.63999999998</v>
      </c>
      <c r="E31" s="80">
        <v>176865.63999999998</v>
      </c>
      <c r="F31" s="81">
        <v>1</v>
      </c>
      <c r="G31" s="80">
        <v>176865.63999999998</v>
      </c>
      <c r="H31" s="81">
        <v>1</v>
      </c>
      <c r="I31" s="80">
        <v>176865.63999999998</v>
      </c>
      <c r="J31" s="81">
        <v>1</v>
      </c>
      <c r="K31" s="80">
        <v>0</v>
      </c>
      <c r="L31" s="81">
        <v>0</v>
      </c>
    </row>
    <row r="32" spans="1:12" ht="45" x14ac:dyDescent="0.25">
      <c r="A32" s="79" t="s">
        <v>37</v>
      </c>
      <c r="B32" s="79" t="s">
        <v>98</v>
      </c>
      <c r="C32" s="79" t="s">
        <v>40</v>
      </c>
      <c r="D32" s="80">
        <v>25932.61</v>
      </c>
      <c r="E32" s="80">
        <v>25932.61</v>
      </c>
      <c r="F32" s="81">
        <v>1</v>
      </c>
      <c r="G32" s="80">
        <v>25932.61</v>
      </c>
      <c r="H32" s="81">
        <v>1</v>
      </c>
      <c r="I32" s="80">
        <v>25932.61</v>
      </c>
      <c r="J32" s="81">
        <v>1</v>
      </c>
      <c r="K32" s="82"/>
      <c r="L32" s="82"/>
    </row>
    <row r="33" spans="1:12" x14ac:dyDescent="0.25">
      <c r="A33" s="79" t="s">
        <v>37</v>
      </c>
      <c r="B33" s="79" t="s">
        <v>39</v>
      </c>
      <c r="C33" s="79" t="s">
        <v>41</v>
      </c>
      <c r="D33" s="80">
        <v>48011.730000000018</v>
      </c>
      <c r="E33" s="80">
        <v>48011.730000000018</v>
      </c>
      <c r="F33" s="81">
        <v>1</v>
      </c>
      <c r="G33" s="80">
        <v>48011.730000000018</v>
      </c>
      <c r="H33" s="81">
        <v>1</v>
      </c>
      <c r="I33" s="80">
        <v>48011.730000000018</v>
      </c>
      <c r="J33" s="81">
        <v>1</v>
      </c>
      <c r="K33" s="80">
        <v>0</v>
      </c>
      <c r="L33" s="81">
        <v>0</v>
      </c>
    </row>
    <row r="34" spans="1:12" x14ac:dyDescent="0.25">
      <c r="A34" s="79" t="s">
        <v>48</v>
      </c>
      <c r="B34" s="79" t="s">
        <v>50</v>
      </c>
      <c r="C34" s="79" t="s">
        <v>30</v>
      </c>
      <c r="D34" s="80">
        <v>161909.82999999999</v>
      </c>
      <c r="E34" s="80">
        <v>161909.82999999999</v>
      </c>
      <c r="F34" s="81">
        <v>1</v>
      </c>
      <c r="G34" s="80">
        <v>161909.82999999999</v>
      </c>
      <c r="H34" s="81">
        <v>1</v>
      </c>
      <c r="I34" s="80">
        <v>161909.82999999999</v>
      </c>
      <c r="J34" s="81">
        <v>1</v>
      </c>
      <c r="K34" s="80">
        <v>0</v>
      </c>
      <c r="L34" s="81">
        <v>0</v>
      </c>
    </row>
    <row r="35" spans="1:12" ht="45" x14ac:dyDescent="0.25">
      <c r="A35" s="79" t="s">
        <v>48</v>
      </c>
      <c r="B35" s="79" t="s">
        <v>99</v>
      </c>
      <c r="C35" s="79" t="s">
        <v>40</v>
      </c>
      <c r="D35" s="80">
        <v>36020.75</v>
      </c>
      <c r="E35" s="80">
        <v>36020.75</v>
      </c>
      <c r="F35" s="81">
        <v>1</v>
      </c>
      <c r="G35" s="80">
        <v>36020.75</v>
      </c>
      <c r="H35" s="81">
        <v>1</v>
      </c>
      <c r="I35" s="80">
        <v>36020.75</v>
      </c>
      <c r="J35" s="81">
        <v>1</v>
      </c>
      <c r="K35" s="82"/>
      <c r="L35" s="82"/>
    </row>
    <row r="36" spans="1:12" x14ac:dyDescent="0.25">
      <c r="A36" s="79" t="s">
        <v>48</v>
      </c>
      <c r="B36" s="79" t="s">
        <v>49</v>
      </c>
      <c r="C36" s="79" t="s">
        <v>41</v>
      </c>
      <c r="D36" s="80">
        <v>161909.82999999999</v>
      </c>
      <c r="E36" s="80">
        <v>161909.82999999999</v>
      </c>
      <c r="F36" s="81">
        <v>1</v>
      </c>
      <c r="G36" s="80">
        <v>161909.82999999999</v>
      </c>
      <c r="H36" s="81">
        <v>1</v>
      </c>
      <c r="I36" s="80">
        <v>161909.82999999999</v>
      </c>
      <c r="J36" s="81">
        <v>1</v>
      </c>
      <c r="K36" s="80">
        <v>0</v>
      </c>
      <c r="L36" s="81">
        <v>0</v>
      </c>
    </row>
    <row r="37" spans="1:12" x14ac:dyDescent="0.25">
      <c r="A37" s="79" t="s">
        <v>48</v>
      </c>
      <c r="B37" s="79" t="s">
        <v>53</v>
      </c>
      <c r="C37" s="79" t="s">
        <v>30</v>
      </c>
      <c r="D37" s="80">
        <v>38583.480000000003</v>
      </c>
      <c r="E37" s="80">
        <v>38583.480000000003</v>
      </c>
      <c r="F37" s="81">
        <v>1</v>
      </c>
      <c r="G37" s="80">
        <v>38583.480000000003</v>
      </c>
      <c r="H37" s="81">
        <v>1</v>
      </c>
      <c r="I37" s="80">
        <v>38583.480000000003</v>
      </c>
      <c r="J37" s="81">
        <v>1</v>
      </c>
      <c r="K37" s="80">
        <v>350.74984454545466</v>
      </c>
      <c r="L37" s="81">
        <v>9.0906741575787001E-3</v>
      </c>
    </row>
    <row r="38" spans="1:12" x14ac:dyDescent="0.25">
      <c r="A38" s="79" t="s">
        <v>42</v>
      </c>
      <c r="B38" s="79" t="s">
        <v>43</v>
      </c>
      <c r="C38" s="79" t="s">
        <v>30</v>
      </c>
      <c r="D38" s="80">
        <v>117331.46</v>
      </c>
      <c r="E38" s="80">
        <v>117331.46</v>
      </c>
      <c r="F38" s="81">
        <v>1</v>
      </c>
      <c r="G38" s="80">
        <v>117331.46</v>
      </c>
      <c r="H38" s="81">
        <v>1</v>
      </c>
      <c r="I38" s="80">
        <v>117331.46</v>
      </c>
      <c r="J38" s="81">
        <v>1</v>
      </c>
      <c r="K38" s="80">
        <v>117331.46</v>
      </c>
      <c r="L38" s="81">
        <v>1</v>
      </c>
    </row>
    <row r="39" spans="1:12" ht="45" x14ac:dyDescent="0.25">
      <c r="A39" s="79" t="s">
        <v>42</v>
      </c>
      <c r="B39" s="79" t="s">
        <v>100</v>
      </c>
      <c r="C39" s="79" t="s">
        <v>40</v>
      </c>
      <c r="D39" s="80">
        <v>32085.040000000001</v>
      </c>
      <c r="E39" s="80">
        <v>32085.040000000001</v>
      </c>
      <c r="F39" s="81">
        <v>1</v>
      </c>
      <c r="G39" s="80">
        <v>32085.040000000001</v>
      </c>
      <c r="H39" s="81">
        <v>1</v>
      </c>
      <c r="I39" s="80">
        <v>32085.040000000001</v>
      </c>
      <c r="J39" s="81">
        <v>1</v>
      </c>
      <c r="K39" s="82"/>
      <c r="L39" s="82"/>
    </row>
    <row r="40" spans="1:12" x14ac:dyDescent="0.25">
      <c r="A40" s="79" t="s">
        <v>42</v>
      </c>
      <c r="B40" s="79" t="s">
        <v>44</v>
      </c>
      <c r="C40" s="79" t="s">
        <v>41</v>
      </c>
      <c r="D40" s="80">
        <v>52880.41</v>
      </c>
      <c r="E40" s="80">
        <v>52880.41</v>
      </c>
      <c r="F40" s="81">
        <v>1</v>
      </c>
      <c r="G40" s="80">
        <v>52880.41</v>
      </c>
      <c r="H40" s="81">
        <v>1</v>
      </c>
      <c r="I40" s="80">
        <v>52880.41</v>
      </c>
      <c r="J40" s="81">
        <v>1</v>
      </c>
      <c r="K40" s="80">
        <v>0</v>
      </c>
      <c r="L40" s="81">
        <v>0</v>
      </c>
    </row>
    <row r="41" spans="1:12" x14ac:dyDescent="0.25">
      <c r="A41" s="79" t="s">
        <v>42</v>
      </c>
      <c r="B41" s="79" t="s">
        <v>45</v>
      </c>
      <c r="C41" s="79" t="s">
        <v>46</v>
      </c>
      <c r="D41" s="80">
        <v>45121.45</v>
      </c>
      <c r="E41" s="80">
        <v>45121.45</v>
      </c>
      <c r="F41" s="81">
        <v>1</v>
      </c>
      <c r="G41" s="80">
        <v>45121.45</v>
      </c>
      <c r="H41" s="81">
        <v>1</v>
      </c>
      <c r="I41" s="80">
        <v>45121.45</v>
      </c>
      <c r="J41" s="81">
        <v>1</v>
      </c>
      <c r="K41" s="80">
        <v>45121.45</v>
      </c>
      <c r="L41" s="81">
        <v>1</v>
      </c>
    </row>
    <row r="42" spans="1:12" x14ac:dyDescent="0.25">
      <c r="A42" s="79" t="s">
        <v>42</v>
      </c>
      <c r="B42" s="79" t="s">
        <v>92</v>
      </c>
      <c r="C42" s="79" t="s">
        <v>30</v>
      </c>
      <c r="D42" s="80">
        <v>23254.952350000007</v>
      </c>
      <c r="E42" s="80">
        <v>23254.952350000007</v>
      </c>
      <c r="F42" s="81">
        <v>1</v>
      </c>
      <c r="G42" s="80">
        <v>23254.952350000007</v>
      </c>
      <c r="H42" s="81">
        <v>1</v>
      </c>
      <c r="I42" s="80">
        <v>23254.952350000007</v>
      </c>
      <c r="J42" s="81">
        <v>1</v>
      </c>
      <c r="K42" s="80">
        <v>0</v>
      </c>
      <c r="L42" s="81">
        <v>0</v>
      </c>
    </row>
    <row r="43" spans="1:12" x14ac:dyDescent="0.25">
      <c r="A43" s="79" t="s">
        <v>128</v>
      </c>
      <c r="B43" s="79" t="s">
        <v>128</v>
      </c>
      <c r="C43" s="79" t="s">
        <v>30</v>
      </c>
      <c r="D43" s="80">
        <v>733.58</v>
      </c>
      <c r="E43" s="80">
        <v>733.58</v>
      </c>
      <c r="F43" s="81">
        <v>1</v>
      </c>
      <c r="G43" s="80">
        <v>0</v>
      </c>
      <c r="H43" s="81">
        <v>0</v>
      </c>
      <c r="I43" s="80">
        <v>0</v>
      </c>
      <c r="J43" s="81">
        <v>0</v>
      </c>
      <c r="K43" s="82"/>
      <c r="L43" s="82"/>
    </row>
    <row r="44" spans="1:12" x14ac:dyDescent="0.25">
      <c r="A44" s="79" t="s">
        <v>47</v>
      </c>
      <c r="B44" s="79" t="s">
        <v>47</v>
      </c>
      <c r="C44" s="79" t="s">
        <v>30</v>
      </c>
      <c r="D44" s="80">
        <v>231366.76</v>
      </c>
      <c r="E44" s="80">
        <v>231366.76</v>
      </c>
      <c r="F44" s="81">
        <v>1</v>
      </c>
      <c r="G44" s="80">
        <v>231366.76</v>
      </c>
      <c r="H44" s="81">
        <v>1</v>
      </c>
      <c r="I44" s="80">
        <v>231366.76</v>
      </c>
      <c r="J44" s="81">
        <v>1</v>
      </c>
      <c r="K44" s="80">
        <v>197529.26080194977</v>
      </c>
      <c r="L44" s="81">
        <v>0.85374952219562461</v>
      </c>
    </row>
    <row r="45" spans="1:12" x14ac:dyDescent="0.25">
      <c r="A45" s="79" t="s">
        <v>51</v>
      </c>
      <c r="B45" s="79" t="s">
        <v>73</v>
      </c>
      <c r="C45" s="79" t="s">
        <v>30</v>
      </c>
      <c r="D45" s="80">
        <v>37063.279999999999</v>
      </c>
      <c r="E45" s="80">
        <v>37063.279999999999</v>
      </c>
      <c r="F45" s="81">
        <v>1</v>
      </c>
      <c r="G45" s="80">
        <v>37063.279999999999</v>
      </c>
      <c r="H45" s="81">
        <v>1</v>
      </c>
      <c r="I45" s="80">
        <v>32430.37</v>
      </c>
      <c r="J45" s="81">
        <v>0.875</v>
      </c>
      <c r="K45" s="80">
        <v>0</v>
      </c>
      <c r="L45" s="81">
        <v>0</v>
      </c>
    </row>
    <row r="46" spans="1:12" x14ac:dyDescent="0.25">
      <c r="A46" s="79" t="s">
        <v>51</v>
      </c>
      <c r="B46" s="79" t="s">
        <v>73</v>
      </c>
      <c r="C46" s="79" t="s">
        <v>46</v>
      </c>
      <c r="D46" s="80">
        <v>37063.279999999999</v>
      </c>
      <c r="E46" s="80">
        <v>28826.995555555553</v>
      </c>
      <c r="F46" s="81">
        <v>0.77777777777777779</v>
      </c>
      <c r="G46" s="80">
        <v>28826.995555555553</v>
      </c>
      <c r="H46" s="81">
        <v>0.77777777777777779</v>
      </c>
      <c r="I46" s="80">
        <v>26767.924444444445</v>
      </c>
      <c r="J46" s="81">
        <v>0.72222222222222221</v>
      </c>
      <c r="K46" s="80">
        <v>0</v>
      </c>
      <c r="L46" s="81">
        <v>0</v>
      </c>
    </row>
    <row r="47" spans="1:12" x14ac:dyDescent="0.25">
      <c r="A47" s="79" t="s">
        <v>51</v>
      </c>
      <c r="B47" s="79" t="s">
        <v>73</v>
      </c>
      <c r="C47" s="79" t="s">
        <v>74</v>
      </c>
      <c r="D47" s="80">
        <v>37063.279999999999</v>
      </c>
      <c r="E47" s="80">
        <v>37063.279999999999</v>
      </c>
      <c r="F47" s="81">
        <v>1</v>
      </c>
      <c r="G47" s="80">
        <v>37063.279999999999</v>
      </c>
      <c r="H47" s="81">
        <v>1</v>
      </c>
      <c r="I47" s="80">
        <v>0</v>
      </c>
      <c r="J47" s="81">
        <v>0</v>
      </c>
      <c r="K47" s="80">
        <v>0</v>
      </c>
      <c r="L47" s="81">
        <v>0</v>
      </c>
    </row>
    <row r="48" spans="1:12" x14ac:dyDescent="0.25">
      <c r="A48" s="79" t="s">
        <v>51</v>
      </c>
      <c r="B48" s="79" t="s">
        <v>72</v>
      </c>
      <c r="C48" s="79" t="s">
        <v>46</v>
      </c>
      <c r="D48" s="80">
        <v>112594.34</v>
      </c>
      <c r="E48" s="80">
        <v>112594.34</v>
      </c>
      <c r="F48" s="81">
        <v>1</v>
      </c>
      <c r="G48" s="80">
        <v>112594.34</v>
      </c>
      <c r="H48" s="81">
        <v>1</v>
      </c>
      <c r="I48" s="80">
        <v>112594.34</v>
      </c>
      <c r="J48" s="81">
        <v>1</v>
      </c>
      <c r="K48" s="80">
        <v>0</v>
      </c>
      <c r="L48" s="81">
        <v>0</v>
      </c>
    </row>
    <row r="49" spans="1:12" x14ac:dyDescent="0.25">
      <c r="A49" s="79" t="s">
        <v>51</v>
      </c>
      <c r="B49" s="79" t="s">
        <v>69</v>
      </c>
      <c r="C49" s="79" t="s">
        <v>70</v>
      </c>
      <c r="D49" s="80">
        <v>103605.23999999983</v>
      </c>
      <c r="E49" s="80">
        <v>103605.23999999983</v>
      </c>
      <c r="F49" s="81">
        <v>1</v>
      </c>
      <c r="G49" s="80">
        <v>103605.23999999983</v>
      </c>
      <c r="H49" s="81">
        <v>1</v>
      </c>
      <c r="I49" s="80">
        <v>103605.23999999983</v>
      </c>
      <c r="J49" s="81">
        <v>1</v>
      </c>
      <c r="K49" s="80">
        <v>0</v>
      </c>
      <c r="L49" s="81">
        <v>0</v>
      </c>
    </row>
    <row r="50" spans="1:12" x14ac:dyDescent="0.25">
      <c r="A50" s="79" t="s">
        <v>51</v>
      </c>
      <c r="B50" s="79" t="s">
        <v>68</v>
      </c>
      <c r="C50" s="79" t="s">
        <v>30</v>
      </c>
      <c r="D50" s="80">
        <v>91700.06</v>
      </c>
      <c r="E50" s="80">
        <v>91700.06</v>
      </c>
      <c r="F50" s="81">
        <v>1</v>
      </c>
      <c r="G50" s="80">
        <v>91700.06</v>
      </c>
      <c r="H50" s="81">
        <v>1</v>
      </c>
      <c r="I50" s="80">
        <v>91700.06</v>
      </c>
      <c r="J50" s="81">
        <v>1</v>
      </c>
      <c r="K50" s="80">
        <v>9324.4140034894335</v>
      </c>
      <c r="L50" s="81">
        <v>0.10168383754044909</v>
      </c>
    </row>
    <row r="51" spans="1:12" x14ac:dyDescent="0.25">
      <c r="A51" s="79" t="s">
        <v>51</v>
      </c>
      <c r="B51" s="79" t="s">
        <v>68</v>
      </c>
      <c r="C51" s="79" t="s">
        <v>61</v>
      </c>
      <c r="D51" s="80">
        <v>3911.9090000000001</v>
      </c>
      <c r="E51" s="80">
        <v>3911.9090000000001</v>
      </c>
      <c r="F51" s="81">
        <v>1</v>
      </c>
      <c r="G51" s="80">
        <v>3911.9090000000001</v>
      </c>
      <c r="H51" s="81">
        <v>1</v>
      </c>
      <c r="I51" s="80">
        <v>3911.9090000000001</v>
      </c>
      <c r="J51" s="81">
        <v>1</v>
      </c>
      <c r="K51" s="80">
        <v>348.38469903147336</v>
      </c>
      <c r="L51" s="81">
        <v>8.9057465046214868E-2</v>
      </c>
    </row>
    <row r="52" spans="1:12" x14ac:dyDescent="0.25">
      <c r="A52" s="79" t="s">
        <v>51</v>
      </c>
      <c r="B52" s="79" t="s">
        <v>68</v>
      </c>
      <c r="C52" s="79" t="s">
        <v>46</v>
      </c>
      <c r="D52" s="80">
        <v>313.09100000000001</v>
      </c>
      <c r="E52" s="80">
        <v>313.09100000000001</v>
      </c>
      <c r="F52" s="81">
        <v>1</v>
      </c>
      <c r="G52" s="80">
        <v>313.09100000000001</v>
      </c>
      <c r="H52" s="81">
        <v>1</v>
      </c>
      <c r="I52" s="80">
        <v>313.09100000000001</v>
      </c>
      <c r="J52" s="81">
        <v>1</v>
      </c>
      <c r="K52" s="80">
        <v>313.09082429299076</v>
      </c>
      <c r="L52" s="81">
        <v>0.99999943879891395</v>
      </c>
    </row>
    <row r="53" spans="1:12" x14ac:dyDescent="0.25">
      <c r="A53" s="79" t="s">
        <v>51</v>
      </c>
      <c r="B53" s="79" t="s">
        <v>60</v>
      </c>
      <c r="C53" s="79" t="s">
        <v>30</v>
      </c>
      <c r="D53" s="80">
        <v>90800.14</v>
      </c>
      <c r="E53" s="80">
        <v>90800.14</v>
      </c>
      <c r="F53" s="81">
        <v>1</v>
      </c>
      <c r="G53" s="80">
        <v>90800.14</v>
      </c>
      <c r="H53" s="81">
        <v>1</v>
      </c>
      <c r="I53" s="80">
        <v>90800.14</v>
      </c>
      <c r="J53" s="81">
        <v>1</v>
      </c>
      <c r="K53" s="80">
        <v>10153.047824795449</v>
      </c>
      <c r="L53" s="81">
        <v>0.11181753491564494</v>
      </c>
    </row>
    <row r="54" spans="1:12" x14ac:dyDescent="0.25">
      <c r="A54" s="79" t="s">
        <v>51</v>
      </c>
      <c r="B54" s="79" t="s">
        <v>60</v>
      </c>
      <c r="C54" s="79" t="s">
        <v>61</v>
      </c>
      <c r="D54" s="80">
        <v>3099.45</v>
      </c>
      <c r="E54" s="80">
        <v>3099.45</v>
      </c>
      <c r="F54" s="81">
        <v>1</v>
      </c>
      <c r="G54" s="80">
        <v>3099.45</v>
      </c>
      <c r="H54" s="81">
        <v>1</v>
      </c>
      <c r="I54" s="80">
        <v>3099.45</v>
      </c>
      <c r="J54" s="81">
        <v>1</v>
      </c>
      <c r="K54" s="80">
        <v>316.12053666945536</v>
      </c>
      <c r="L54" s="81">
        <v>0.10199246210439122</v>
      </c>
    </row>
    <row r="55" spans="1:12" x14ac:dyDescent="0.25">
      <c r="A55" s="79" t="s">
        <v>51</v>
      </c>
      <c r="B55" s="79" t="s">
        <v>60</v>
      </c>
      <c r="C55" s="79" t="s">
        <v>46</v>
      </c>
      <c r="D55" s="80">
        <v>1909.55</v>
      </c>
      <c r="E55" s="80">
        <v>1909.55</v>
      </c>
      <c r="F55" s="81">
        <v>1</v>
      </c>
      <c r="G55" s="80">
        <v>1909.55</v>
      </c>
      <c r="H55" s="81">
        <v>1</v>
      </c>
      <c r="I55" s="80">
        <v>1909.55</v>
      </c>
      <c r="J55" s="81">
        <v>1</v>
      </c>
      <c r="K55" s="80">
        <v>1909.55</v>
      </c>
      <c r="L55" s="81">
        <v>1</v>
      </c>
    </row>
    <row r="56" spans="1:12" x14ac:dyDescent="0.25">
      <c r="A56" s="79" t="s">
        <v>51</v>
      </c>
      <c r="B56" s="79" t="s">
        <v>57</v>
      </c>
      <c r="C56" s="79" t="s">
        <v>30</v>
      </c>
      <c r="D56" s="80">
        <v>95330.38</v>
      </c>
      <c r="E56" s="80">
        <v>95330.38</v>
      </c>
      <c r="F56" s="81">
        <v>1</v>
      </c>
      <c r="G56" s="80">
        <v>95330.38</v>
      </c>
      <c r="H56" s="81">
        <v>1</v>
      </c>
      <c r="I56" s="80">
        <v>95330.38</v>
      </c>
      <c r="J56" s="81">
        <v>1</v>
      </c>
      <c r="K56" s="80">
        <v>10725.196913819915</v>
      </c>
      <c r="L56" s="81">
        <v>0.11250555084139929</v>
      </c>
    </row>
    <row r="57" spans="1:12" x14ac:dyDescent="0.25">
      <c r="A57" s="79" t="s">
        <v>51</v>
      </c>
      <c r="B57" s="79" t="s">
        <v>55</v>
      </c>
      <c r="C57" s="79" t="s">
        <v>30</v>
      </c>
      <c r="D57" s="80">
        <v>120097.08</v>
      </c>
      <c r="E57" s="80">
        <v>120097.08</v>
      </c>
      <c r="F57" s="81">
        <v>1</v>
      </c>
      <c r="G57" s="80">
        <v>120097.08</v>
      </c>
      <c r="H57" s="81">
        <v>1</v>
      </c>
      <c r="I57" s="80">
        <v>120097.08</v>
      </c>
      <c r="J57" s="81">
        <v>1</v>
      </c>
      <c r="K57" s="80">
        <v>0</v>
      </c>
      <c r="L57" s="81">
        <v>0</v>
      </c>
    </row>
    <row r="58" spans="1:12" x14ac:dyDescent="0.25">
      <c r="A58" s="79" t="s">
        <v>51</v>
      </c>
      <c r="B58" s="79" t="s">
        <v>55</v>
      </c>
      <c r="C58" s="79" t="s">
        <v>56</v>
      </c>
      <c r="D58" s="80">
        <v>377.43</v>
      </c>
      <c r="E58" s="80">
        <v>377.43</v>
      </c>
      <c r="F58" s="81">
        <v>1</v>
      </c>
      <c r="G58" s="80">
        <v>377.43</v>
      </c>
      <c r="H58" s="81">
        <v>1</v>
      </c>
      <c r="I58" s="80">
        <v>377.43</v>
      </c>
      <c r="J58" s="81">
        <v>1</v>
      </c>
      <c r="K58" s="80">
        <v>0</v>
      </c>
      <c r="L58" s="81">
        <v>0</v>
      </c>
    </row>
    <row r="59" spans="1:12" x14ac:dyDescent="0.25">
      <c r="A59" s="79" t="s">
        <v>51</v>
      </c>
      <c r="B59" s="79" t="s">
        <v>55</v>
      </c>
      <c r="C59" s="79" t="s">
        <v>46</v>
      </c>
      <c r="D59" s="80">
        <v>14276.64</v>
      </c>
      <c r="E59" s="80">
        <v>14276.64</v>
      </c>
      <c r="F59" s="81">
        <v>1</v>
      </c>
      <c r="G59" s="80">
        <v>14276.64</v>
      </c>
      <c r="H59" s="81">
        <v>1</v>
      </c>
      <c r="I59" s="80">
        <v>14276.64</v>
      </c>
      <c r="J59" s="81">
        <v>1</v>
      </c>
      <c r="K59" s="80">
        <v>0</v>
      </c>
      <c r="L59" s="81">
        <v>0</v>
      </c>
    </row>
    <row r="60" spans="1:12" x14ac:dyDescent="0.25">
      <c r="A60" s="79" t="s">
        <v>51</v>
      </c>
      <c r="B60" s="79" t="s">
        <v>52</v>
      </c>
      <c r="C60" s="79" t="s">
        <v>30</v>
      </c>
      <c r="D60" s="80">
        <v>68960.590000000026</v>
      </c>
      <c r="E60" s="80">
        <v>68960.590000000026</v>
      </c>
      <c r="F60" s="81">
        <v>1</v>
      </c>
      <c r="G60" s="80">
        <v>68960.590000000026</v>
      </c>
      <c r="H60" s="81">
        <v>1</v>
      </c>
      <c r="I60" s="80">
        <v>68960.590000000026</v>
      </c>
      <c r="J60" s="81">
        <v>1</v>
      </c>
      <c r="K60" s="80">
        <v>10984.872743362903</v>
      </c>
      <c r="L60" s="81">
        <v>0.15929203539823106</v>
      </c>
    </row>
    <row r="61" spans="1:12" ht="30" x14ac:dyDescent="0.25">
      <c r="A61" s="81" t="s">
        <v>114</v>
      </c>
      <c r="B61" s="81" t="s">
        <v>114</v>
      </c>
      <c r="C61" s="81" t="s">
        <v>114</v>
      </c>
      <c r="D61" s="81" t="s">
        <v>147</v>
      </c>
      <c r="E61" s="81" t="s">
        <v>148</v>
      </c>
      <c r="F61" s="81" t="s">
        <v>114</v>
      </c>
      <c r="G61" s="81" t="s">
        <v>149</v>
      </c>
      <c r="H61" s="81" t="s">
        <v>114</v>
      </c>
      <c r="I61" s="81" t="s">
        <v>150</v>
      </c>
      <c r="J61" s="81" t="s">
        <v>114</v>
      </c>
      <c r="K61" s="81" t="s">
        <v>151</v>
      </c>
      <c r="L61" s="81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62"/>
  <sheetViews>
    <sheetView topLeftCell="A32" workbookViewId="0">
      <selection activeCell="A2" sqref="A2:L61"/>
    </sheetView>
  </sheetViews>
  <sheetFormatPr defaultRowHeight="15" x14ac:dyDescent="0.25"/>
  <sheetData>
    <row r="1" spans="1:12" x14ac:dyDescent="0.25">
      <c r="A1" s="73" t="s">
        <v>102</v>
      </c>
      <c r="B1" s="73" t="s">
        <v>103</v>
      </c>
      <c r="C1" s="73" t="s">
        <v>104</v>
      </c>
      <c r="D1" s="73" t="s">
        <v>105</v>
      </c>
      <c r="E1" s="73" t="s">
        <v>106</v>
      </c>
      <c r="F1" s="73" t="s">
        <v>107</v>
      </c>
      <c r="G1" s="73" t="s">
        <v>108</v>
      </c>
      <c r="H1" s="73" t="s">
        <v>109</v>
      </c>
      <c r="I1" s="73" t="s">
        <v>110</v>
      </c>
      <c r="J1" s="73" t="s">
        <v>111</v>
      </c>
      <c r="K1" s="73" t="s">
        <v>112</v>
      </c>
      <c r="L1" s="73" t="s">
        <v>113</v>
      </c>
    </row>
    <row r="2" spans="1:12" x14ac:dyDescent="0.25">
      <c r="A2" s="74" t="s">
        <v>54</v>
      </c>
      <c r="B2" s="74" t="s">
        <v>82</v>
      </c>
      <c r="C2" s="74" t="s">
        <v>83</v>
      </c>
      <c r="D2" s="75">
        <v>61696.523999999998</v>
      </c>
      <c r="E2" s="75">
        <v>61696.523999999998</v>
      </c>
      <c r="F2" s="76">
        <v>1</v>
      </c>
      <c r="G2" s="75">
        <v>61696.523999999998</v>
      </c>
      <c r="H2" s="76">
        <v>1</v>
      </c>
      <c r="I2" s="75">
        <v>61696.523999999998</v>
      </c>
      <c r="J2" s="76">
        <v>1</v>
      </c>
      <c r="K2" s="75">
        <v>0</v>
      </c>
      <c r="L2" s="76">
        <v>0</v>
      </c>
    </row>
    <row r="3" spans="1:12" x14ac:dyDescent="0.25">
      <c r="A3" s="74" t="s">
        <v>54</v>
      </c>
      <c r="B3" s="74" t="s">
        <v>84</v>
      </c>
      <c r="C3" s="74" t="s">
        <v>83</v>
      </c>
      <c r="D3" s="75">
        <v>61512.597399999991</v>
      </c>
      <c r="E3" s="75">
        <v>61512.597399999991</v>
      </c>
      <c r="F3" s="76">
        <v>1</v>
      </c>
      <c r="G3" s="75">
        <v>0</v>
      </c>
      <c r="H3" s="76">
        <v>0</v>
      </c>
      <c r="I3" s="75">
        <v>0</v>
      </c>
      <c r="J3" s="76">
        <v>0</v>
      </c>
      <c r="K3" s="75">
        <v>0</v>
      </c>
      <c r="L3" s="76">
        <v>0</v>
      </c>
    </row>
    <row r="4" spans="1:12" x14ac:dyDescent="0.25">
      <c r="A4" s="74" t="s">
        <v>54</v>
      </c>
      <c r="B4" s="74" t="s">
        <v>94</v>
      </c>
      <c r="C4" s="74" t="s">
        <v>101</v>
      </c>
      <c r="D4" s="75">
        <v>116529.74</v>
      </c>
      <c r="E4" s="75">
        <v>58264.87</v>
      </c>
      <c r="F4" s="76">
        <v>0.5</v>
      </c>
      <c r="G4" s="75">
        <v>34958.921999999999</v>
      </c>
      <c r="H4" s="76">
        <v>0.3</v>
      </c>
      <c r="I4" s="75">
        <v>23305.948000000004</v>
      </c>
      <c r="J4" s="76">
        <v>0.2</v>
      </c>
      <c r="K4" s="75">
        <v>0</v>
      </c>
      <c r="L4" s="76">
        <v>0</v>
      </c>
    </row>
    <row r="5" spans="1:12" x14ac:dyDescent="0.25">
      <c r="A5" s="74" t="s">
        <v>54</v>
      </c>
      <c r="B5" s="74" t="s">
        <v>78</v>
      </c>
      <c r="C5" s="74" t="s">
        <v>59</v>
      </c>
      <c r="D5" s="75">
        <v>3632.6453241000008</v>
      </c>
      <c r="E5" s="75">
        <v>3632.6453241000008</v>
      </c>
      <c r="F5" s="76">
        <v>1</v>
      </c>
      <c r="G5" s="75">
        <v>3632.6453241000008</v>
      </c>
      <c r="H5" s="76">
        <v>1</v>
      </c>
      <c r="I5" s="75">
        <v>3632.6453241000008</v>
      </c>
      <c r="J5" s="76">
        <v>1</v>
      </c>
      <c r="K5" s="75">
        <v>82.560121002272751</v>
      </c>
      <c r="L5" s="76">
        <v>2.2727272727272728E-2</v>
      </c>
    </row>
    <row r="6" spans="1:12" ht="30" x14ac:dyDescent="0.25">
      <c r="A6" s="74" t="s">
        <v>54</v>
      </c>
      <c r="B6" s="74" t="s">
        <v>79</v>
      </c>
      <c r="C6" s="74" t="s">
        <v>59</v>
      </c>
      <c r="D6" s="75">
        <v>66526.931673225015</v>
      </c>
      <c r="E6" s="75">
        <v>66526.931673225015</v>
      </c>
      <c r="F6" s="76">
        <v>1</v>
      </c>
      <c r="G6" s="75">
        <v>66526.931673225015</v>
      </c>
      <c r="H6" s="76">
        <v>1</v>
      </c>
      <c r="I6" s="75">
        <v>66526.931673225015</v>
      </c>
      <c r="J6" s="76">
        <v>1</v>
      </c>
      <c r="K6" s="75">
        <v>0</v>
      </c>
      <c r="L6" s="76">
        <v>0</v>
      </c>
    </row>
    <row r="7" spans="1:12" ht="30" x14ac:dyDescent="0.25">
      <c r="A7" s="74" t="s">
        <v>54</v>
      </c>
      <c r="B7" s="74" t="s">
        <v>80</v>
      </c>
      <c r="C7" s="74" t="s">
        <v>59</v>
      </c>
      <c r="D7" s="75">
        <v>27322.570000000014</v>
      </c>
      <c r="E7" s="75">
        <v>27322.570000000014</v>
      </c>
      <c r="F7" s="76">
        <v>1</v>
      </c>
      <c r="G7" s="75">
        <v>27322.570000000014</v>
      </c>
      <c r="H7" s="76">
        <v>1</v>
      </c>
      <c r="I7" s="75">
        <v>27322.570000000014</v>
      </c>
      <c r="J7" s="76">
        <v>1</v>
      </c>
      <c r="K7" s="75">
        <v>0</v>
      </c>
      <c r="L7" s="76">
        <v>0</v>
      </c>
    </row>
    <row r="8" spans="1:12" ht="30" x14ac:dyDescent="0.25">
      <c r="A8" s="74" t="s">
        <v>54</v>
      </c>
      <c r="B8" s="74" t="s">
        <v>89</v>
      </c>
      <c r="C8" s="74" t="s">
        <v>59</v>
      </c>
      <c r="D8" s="75">
        <v>7738.9</v>
      </c>
      <c r="E8" s="77"/>
      <c r="F8" s="77"/>
      <c r="G8" s="77"/>
      <c r="H8" s="77"/>
      <c r="I8" s="77"/>
      <c r="J8" s="77"/>
      <c r="K8" s="75">
        <v>0</v>
      </c>
      <c r="L8" s="76">
        <v>0</v>
      </c>
    </row>
    <row r="9" spans="1:12" ht="30" x14ac:dyDescent="0.25">
      <c r="A9" s="74" t="s">
        <v>54</v>
      </c>
      <c r="B9" s="74" t="s">
        <v>90</v>
      </c>
      <c r="C9" s="74" t="s">
        <v>59</v>
      </c>
      <c r="D9" s="75">
        <v>12606.7</v>
      </c>
      <c r="E9" s="75">
        <v>12606.7</v>
      </c>
      <c r="F9" s="76">
        <v>1</v>
      </c>
      <c r="G9" s="75">
        <v>12606.7</v>
      </c>
      <c r="H9" s="76">
        <v>1</v>
      </c>
      <c r="I9" s="75">
        <v>12606.7</v>
      </c>
      <c r="J9" s="76">
        <v>1</v>
      </c>
      <c r="K9" s="75">
        <v>0</v>
      </c>
      <c r="L9" s="76">
        <v>0</v>
      </c>
    </row>
    <row r="10" spans="1:12" ht="30" x14ac:dyDescent="0.25">
      <c r="A10" s="74" t="s">
        <v>54</v>
      </c>
      <c r="B10" s="74" t="s">
        <v>87</v>
      </c>
      <c r="C10" s="74" t="s">
        <v>59</v>
      </c>
      <c r="D10" s="75">
        <v>11821.4</v>
      </c>
      <c r="E10" s="75">
        <v>11821.4</v>
      </c>
      <c r="F10" s="76">
        <v>1</v>
      </c>
      <c r="G10" s="75">
        <v>11821.4</v>
      </c>
      <c r="H10" s="76">
        <v>1</v>
      </c>
      <c r="I10" s="75">
        <v>11821.4</v>
      </c>
      <c r="J10" s="76">
        <v>1</v>
      </c>
      <c r="K10" s="75">
        <v>216.72407407407408</v>
      </c>
      <c r="L10" s="76">
        <v>1.833319861218418E-2</v>
      </c>
    </row>
    <row r="11" spans="1:12" ht="30" x14ac:dyDescent="0.25">
      <c r="A11" s="74" t="s">
        <v>54</v>
      </c>
      <c r="B11" s="74" t="s">
        <v>93</v>
      </c>
      <c r="C11" s="74" t="s">
        <v>59</v>
      </c>
      <c r="D11" s="75">
        <v>13649.20000000001</v>
      </c>
      <c r="E11" s="75">
        <v>13649.20000000001</v>
      </c>
      <c r="F11" s="76">
        <v>1</v>
      </c>
      <c r="G11" s="75">
        <v>13649.20000000001</v>
      </c>
      <c r="H11" s="76">
        <v>1</v>
      </c>
      <c r="I11" s="75">
        <v>13649.20000000001</v>
      </c>
      <c r="J11" s="76">
        <v>1</v>
      </c>
      <c r="K11" s="75">
        <v>0</v>
      </c>
      <c r="L11" s="76">
        <v>0</v>
      </c>
    </row>
    <row r="12" spans="1:12" ht="30" x14ac:dyDescent="0.25">
      <c r="A12" s="74" t="s">
        <v>54</v>
      </c>
      <c r="B12" s="74" t="s">
        <v>58</v>
      </c>
      <c r="C12" s="74" t="s">
        <v>59</v>
      </c>
      <c r="D12" s="75">
        <v>18015.7</v>
      </c>
      <c r="E12" s="75">
        <v>18015.7</v>
      </c>
      <c r="F12" s="76">
        <v>1</v>
      </c>
      <c r="G12" s="75">
        <v>18015.7</v>
      </c>
      <c r="H12" s="76">
        <v>1</v>
      </c>
      <c r="I12" s="75">
        <v>18015.7</v>
      </c>
      <c r="J12" s="76">
        <v>1</v>
      </c>
      <c r="K12" s="75">
        <v>4230.9227077085816</v>
      </c>
      <c r="L12" s="76">
        <v>0.23484642327017999</v>
      </c>
    </row>
    <row r="13" spans="1:12" ht="30" x14ac:dyDescent="0.25">
      <c r="A13" s="74" t="s">
        <v>54</v>
      </c>
      <c r="B13" s="74" t="s">
        <v>77</v>
      </c>
      <c r="C13" s="74" t="s">
        <v>59</v>
      </c>
      <c r="D13" s="75">
        <v>14499.95</v>
      </c>
      <c r="E13" s="75">
        <v>14499.95</v>
      </c>
      <c r="F13" s="76">
        <v>1</v>
      </c>
      <c r="G13" s="75">
        <v>14499.95</v>
      </c>
      <c r="H13" s="76">
        <v>1</v>
      </c>
      <c r="I13" s="75">
        <v>14499.95</v>
      </c>
      <c r="J13" s="76">
        <v>1</v>
      </c>
      <c r="K13" s="75">
        <v>4423.4099160559299</v>
      </c>
      <c r="L13" s="76">
        <v>0.3050638047755978</v>
      </c>
    </row>
    <row r="14" spans="1:12" x14ac:dyDescent="0.25">
      <c r="A14" s="74" t="s">
        <v>54</v>
      </c>
      <c r="B14" s="74" t="s">
        <v>62</v>
      </c>
      <c r="C14" s="74" t="s">
        <v>63</v>
      </c>
      <c r="D14" s="75">
        <v>103272.7</v>
      </c>
      <c r="E14" s="75">
        <v>83601.709523809521</v>
      </c>
      <c r="F14" s="76">
        <v>0.80952380952380953</v>
      </c>
      <c r="G14" s="75">
        <v>73766.21428571429</v>
      </c>
      <c r="H14" s="76">
        <v>0.7142857142857143</v>
      </c>
      <c r="I14" s="75">
        <v>59012.971428571422</v>
      </c>
      <c r="J14" s="76">
        <v>0.5714285714285714</v>
      </c>
      <c r="K14" s="75">
        <v>0</v>
      </c>
      <c r="L14" s="76">
        <v>0</v>
      </c>
    </row>
    <row r="15" spans="1:12" x14ac:dyDescent="0.25">
      <c r="A15" s="74" t="s">
        <v>54</v>
      </c>
      <c r="B15" s="74" t="s">
        <v>64</v>
      </c>
      <c r="C15" s="74" t="s">
        <v>65</v>
      </c>
      <c r="D15" s="75">
        <v>21757.69</v>
      </c>
      <c r="E15" s="75">
        <v>21757.69</v>
      </c>
      <c r="F15" s="76">
        <v>1</v>
      </c>
      <c r="G15" s="75">
        <v>10878.844999999999</v>
      </c>
      <c r="H15" s="76">
        <v>0.5</v>
      </c>
      <c r="I15" s="75">
        <v>0</v>
      </c>
      <c r="J15" s="76">
        <v>0</v>
      </c>
      <c r="K15" s="75">
        <v>2607.4421395327126</v>
      </c>
      <c r="L15" s="76">
        <v>0.11984002619454145</v>
      </c>
    </row>
    <row r="16" spans="1:12" x14ac:dyDescent="0.25">
      <c r="A16" s="74" t="s">
        <v>54</v>
      </c>
      <c r="B16" s="74" t="s">
        <v>64</v>
      </c>
      <c r="C16" s="74" t="s">
        <v>66</v>
      </c>
      <c r="D16" s="75">
        <v>21757.69</v>
      </c>
      <c r="E16" s="75">
        <v>21757.69</v>
      </c>
      <c r="F16" s="76">
        <v>1</v>
      </c>
      <c r="G16" s="75">
        <v>21757.69</v>
      </c>
      <c r="H16" s="76">
        <v>1</v>
      </c>
      <c r="I16" s="75">
        <v>7252.5633333333326</v>
      </c>
      <c r="J16" s="76">
        <v>0.33333333333333331</v>
      </c>
      <c r="K16" s="75">
        <v>0</v>
      </c>
      <c r="L16" s="76">
        <v>0</v>
      </c>
    </row>
    <row r="17" spans="1:12" x14ac:dyDescent="0.25">
      <c r="A17" s="74" t="s">
        <v>54</v>
      </c>
      <c r="B17" s="74" t="s">
        <v>64</v>
      </c>
      <c r="C17" s="74" t="s">
        <v>63</v>
      </c>
      <c r="D17" s="75">
        <v>21757.69</v>
      </c>
      <c r="E17" s="75">
        <v>19581.920999999998</v>
      </c>
      <c r="F17" s="76">
        <v>0.9</v>
      </c>
      <c r="G17" s="75">
        <v>19581.920999999998</v>
      </c>
      <c r="H17" s="76">
        <v>0.9</v>
      </c>
      <c r="I17" s="75">
        <v>19581.920999999998</v>
      </c>
      <c r="J17" s="76">
        <v>0.9</v>
      </c>
      <c r="K17" s="75">
        <v>0</v>
      </c>
      <c r="L17" s="76">
        <v>0</v>
      </c>
    </row>
    <row r="18" spans="1:12" x14ac:dyDescent="0.25">
      <c r="A18" s="74" t="s">
        <v>54</v>
      </c>
      <c r="B18" s="74" t="s">
        <v>64</v>
      </c>
      <c r="C18" s="74" t="s">
        <v>67</v>
      </c>
      <c r="D18" s="75">
        <v>21757.69</v>
      </c>
      <c r="E18" s="75">
        <v>19779.718181818182</v>
      </c>
      <c r="F18" s="76">
        <v>0.90909090909090906</v>
      </c>
      <c r="G18" s="75">
        <v>19779.718181818182</v>
      </c>
      <c r="H18" s="76">
        <v>0.90909090909090906</v>
      </c>
      <c r="I18" s="75">
        <v>11867.830909090908</v>
      </c>
      <c r="J18" s="76">
        <v>0.54545454545454541</v>
      </c>
      <c r="K18" s="75">
        <v>0</v>
      </c>
      <c r="L18" s="76">
        <v>0</v>
      </c>
    </row>
    <row r="19" spans="1:12" x14ac:dyDescent="0.25">
      <c r="A19" s="74" t="s">
        <v>54</v>
      </c>
      <c r="B19" s="74" t="s">
        <v>71</v>
      </c>
      <c r="C19" s="74" t="s">
        <v>63</v>
      </c>
      <c r="D19" s="75">
        <v>82046.400000000009</v>
      </c>
      <c r="E19" s="75">
        <v>82046.400000000009</v>
      </c>
      <c r="F19" s="76">
        <v>1</v>
      </c>
      <c r="G19" s="75">
        <v>82046.400000000009</v>
      </c>
      <c r="H19" s="76">
        <v>1</v>
      </c>
      <c r="I19" s="75">
        <v>82046.400000000009</v>
      </c>
      <c r="J19" s="76">
        <v>1</v>
      </c>
      <c r="K19" s="75">
        <v>0</v>
      </c>
      <c r="L19" s="76">
        <v>0</v>
      </c>
    </row>
    <row r="20" spans="1:12" x14ac:dyDescent="0.25">
      <c r="A20" s="74" t="s">
        <v>54</v>
      </c>
      <c r="B20" s="74" t="s">
        <v>75</v>
      </c>
      <c r="C20" s="74" t="s">
        <v>76</v>
      </c>
      <c r="D20" s="75">
        <v>80497.16</v>
      </c>
      <c r="E20" s="75">
        <v>80497.16</v>
      </c>
      <c r="F20" s="76">
        <v>1</v>
      </c>
      <c r="G20" s="75">
        <v>80497.16</v>
      </c>
      <c r="H20" s="76">
        <v>1</v>
      </c>
      <c r="I20" s="75">
        <v>80497.16</v>
      </c>
      <c r="J20" s="76">
        <v>1</v>
      </c>
      <c r="K20" s="75">
        <v>0</v>
      </c>
      <c r="L20" s="76">
        <v>0</v>
      </c>
    </row>
    <row r="21" spans="1:12" x14ac:dyDescent="0.25">
      <c r="A21" s="74" t="s">
        <v>54</v>
      </c>
      <c r="B21" s="74" t="s">
        <v>81</v>
      </c>
      <c r="C21" s="74" t="s">
        <v>30</v>
      </c>
      <c r="D21" s="75">
        <v>89010.219999999987</v>
      </c>
      <c r="E21" s="75">
        <v>89010.219999999987</v>
      </c>
      <c r="F21" s="76">
        <v>1</v>
      </c>
      <c r="G21" s="75">
        <v>89010.219999999987</v>
      </c>
      <c r="H21" s="76">
        <v>1</v>
      </c>
      <c r="I21" s="75">
        <v>89010.219999999987</v>
      </c>
      <c r="J21" s="76">
        <v>1</v>
      </c>
      <c r="K21" s="75">
        <v>0</v>
      </c>
      <c r="L21" s="76">
        <v>0</v>
      </c>
    </row>
    <row r="22" spans="1:12" x14ac:dyDescent="0.25">
      <c r="A22" s="74" t="s">
        <v>54</v>
      </c>
      <c r="B22" s="74" t="s">
        <v>85</v>
      </c>
      <c r="C22" s="74" t="s">
        <v>30</v>
      </c>
      <c r="D22" s="75">
        <v>88239.10000000002</v>
      </c>
      <c r="E22" s="75">
        <v>88239.10000000002</v>
      </c>
      <c r="F22" s="76">
        <v>1</v>
      </c>
      <c r="G22" s="75">
        <v>88239.10000000002</v>
      </c>
      <c r="H22" s="76">
        <v>1</v>
      </c>
      <c r="I22" s="75">
        <v>88239.10000000002</v>
      </c>
      <c r="J22" s="76">
        <v>1</v>
      </c>
      <c r="K22" s="75">
        <v>0</v>
      </c>
      <c r="L22" s="76">
        <v>0</v>
      </c>
    </row>
    <row r="23" spans="1:12" x14ac:dyDescent="0.25">
      <c r="A23" s="74" t="s">
        <v>54</v>
      </c>
      <c r="B23" s="74" t="s">
        <v>86</v>
      </c>
      <c r="C23" s="74" t="s">
        <v>30</v>
      </c>
      <c r="D23" s="75">
        <v>61132.493900000001</v>
      </c>
      <c r="E23" s="75">
        <v>61132.493900000001</v>
      </c>
      <c r="F23" s="76">
        <v>1</v>
      </c>
      <c r="G23" s="75">
        <v>61132.493900000001</v>
      </c>
      <c r="H23" s="76">
        <v>1</v>
      </c>
      <c r="I23" s="75">
        <v>0</v>
      </c>
      <c r="J23" s="76">
        <v>0</v>
      </c>
      <c r="K23" s="75">
        <v>0</v>
      </c>
      <c r="L23" s="76">
        <v>0</v>
      </c>
    </row>
    <row r="24" spans="1:12" x14ac:dyDescent="0.25">
      <c r="A24" s="74" t="s">
        <v>54</v>
      </c>
      <c r="B24" s="74" t="s">
        <v>88</v>
      </c>
      <c r="C24" s="74" t="s">
        <v>63</v>
      </c>
      <c r="D24" s="75">
        <v>62868.84</v>
      </c>
      <c r="E24" s="75">
        <v>20432.373</v>
      </c>
      <c r="F24" s="76">
        <v>0.32500000000000001</v>
      </c>
      <c r="G24" s="75">
        <v>18860.651999999998</v>
      </c>
      <c r="H24" s="76">
        <v>0.3</v>
      </c>
      <c r="I24" s="75">
        <v>14145.489</v>
      </c>
      <c r="J24" s="76">
        <v>0.22500000000000001</v>
      </c>
      <c r="K24" s="75">
        <v>0</v>
      </c>
      <c r="L24" s="76">
        <v>0</v>
      </c>
    </row>
    <row r="25" spans="1:12" x14ac:dyDescent="0.25">
      <c r="A25" s="74" t="s">
        <v>54</v>
      </c>
      <c r="B25" s="74" t="s">
        <v>91</v>
      </c>
      <c r="C25" s="74" t="s">
        <v>63</v>
      </c>
      <c r="D25" s="75">
        <v>76828.36</v>
      </c>
      <c r="E25" s="75">
        <v>0</v>
      </c>
      <c r="F25" s="76">
        <v>0</v>
      </c>
      <c r="G25" s="75">
        <v>0</v>
      </c>
      <c r="H25" s="76">
        <v>0</v>
      </c>
      <c r="I25" s="75">
        <v>0</v>
      </c>
      <c r="J25" s="76">
        <v>0</v>
      </c>
      <c r="K25" s="75">
        <v>0</v>
      </c>
      <c r="L25" s="76">
        <v>0</v>
      </c>
    </row>
    <row r="26" spans="1:12" x14ac:dyDescent="0.25">
      <c r="A26" s="74" t="s">
        <v>27</v>
      </c>
      <c r="B26" s="74" t="s">
        <v>28</v>
      </c>
      <c r="C26" s="74" t="s">
        <v>30</v>
      </c>
      <c r="D26" s="75">
        <v>166217.75</v>
      </c>
      <c r="E26" s="75">
        <v>166217.75</v>
      </c>
      <c r="F26" s="76">
        <v>1</v>
      </c>
      <c r="G26" s="75">
        <v>166217.75</v>
      </c>
      <c r="H26" s="76">
        <v>1</v>
      </c>
      <c r="I26" s="75">
        <v>166217.75</v>
      </c>
      <c r="J26" s="76">
        <v>1</v>
      </c>
      <c r="K26" s="75">
        <v>0</v>
      </c>
      <c r="L26" s="76">
        <v>0</v>
      </c>
    </row>
    <row r="27" spans="1:12" ht="45" x14ac:dyDescent="0.25">
      <c r="A27" s="74" t="s">
        <v>27</v>
      </c>
      <c r="B27" s="74" t="s">
        <v>96</v>
      </c>
      <c r="C27" s="74" t="s">
        <v>32</v>
      </c>
      <c r="D27" s="75">
        <v>10000</v>
      </c>
      <c r="E27" s="75">
        <v>10000</v>
      </c>
      <c r="F27" s="76">
        <v>1</v>
      </c>
      <c r="G27" s="75">
        <v>10000</v>
      </c>
      <c r="H27" s="76">
        <v>1</v>
      </c>
      <c r="I27" s="75">
        <v>10000</v>
      </c>
      <c r="J27" s="76">
        <v>1</v>
      </c>
      <c r="K27" s="77"/>
      <c r="L27" s="77"/>
    </row>
    <row r="28" spans="1:12" x14ac:dyDescent="0.25">
      <c r="A28" s="74" t="s">
        <v>27</v>
      </c>
      <c r="B28" s="74" t="s">
        <v>31</v>
      </c>
      <c r="C28" s="74" t="s">
        <v>33</v>
      </c>
      <c r="D28" s="75">
        <v>105523.13032</v>
      </c>
      <c r="E28" s="75">
        <v>105523.13032</v>
      </c>
      <c r="F28" s="76">
        <v>1</v>
      </c>
      <c r="G28" s="75">
        <v>105523.13032</v>
      </c>
      <c r="H28" s="76">
        <v>1</v>
      </c>
      <c r="I28" s="75">
        <v>105523.13032</v>
      </c>
      <c r="J28" s="76">
        <v>1</v>
      </c>
      <c r="K28" s="75">
        <v>0</v>
      </c>
      <c r="L28" s="76">
        <v>0</v>
      </c>
    </row>
    <row r="29" spans="1:12" ht="45" x14ac:dyDescent="0.25">
      <c r="A29" s="74" t="s">
        <v>27</v>
      </c>
      <c r="B29" s="74" t="s">
        <v>97</v>
      </c>
      <c r="C29" s="74" t="s">
        <v>35</v>
      </c>
      <c r="D29" s="75">
        <v>8130</v>
      </c>
      <c r="E29" s="75">
        <v>8130</v>
      </c>
      <c r="F29" s="76">
        <v>1</v>
      </c>
      <c r="G29" s="75">
        <v>8130</v>
      </c>
      <c r="H29" s="76">
        <v>1</v>
      </c>
      <c r="I29" s="75">
        <v>8130</v>
      </c>
      <c r="J29" s="76">
        <v>1</v>
      </c>
      <c r="K29" s="77"/>
      <c r="L29" s="77"/>
    </row>
    <row r="30" spans="1:12" x14ac:dyDescent="0.25">
      <c r="A30" s="74" t="s">
        <v>27</v>
      </c>
      <c r="B30" s="74" t="s">
        <v>34</v>
      </c>
      <c r="C30" s="74" t="s">
        <v>36</v>
      </c>
      <c r="D30" s="75">
        <v>23734.43</v>
      </c>
      <c r="E30" s="75">
        <v>23734.43</v>
      </c>
      <c r="F30" s="76">
        <v>1</v>
      </c>
      <c r="G30" s="75">
        <v>23734.43</v>
      </c>
      <c r="H30" s="76">
        <v>1</v>
      </c>
      <c r="I30" s="75">
        <v>23734.43</v>
      </c>
      <c r="J30" s="76">
        <v>1</v>
      </c>
      <c r="K30" s="75">
        <v>23734.43</v>
      </c>
      <c r="L30" s="76">
        <v>1</v>
      </c>
    </row>
    <row r="31" spans="1:12" x14ac:dyDescent="0.25">
      <c r="A31" s="74" t="s">
        <v>27</v>
      </c>
      <c r="B31" s="74" t="s">
        <v>95</v>
      </c>
      <c r="C31" s="74" t="s">
        <v>29</v>
      </c>
      <c r="D31" s="75">
        <v>38873.682999999997</v>
      </c>
      <c r="E31" s="75">
        <v>38873.682999999997</v>
      </c>
      <c r="F31" s="76">
        <v>1</v>
      </c>
      <c r="G31" s="75">
        <v>38873.682999999997</v>
      </c>
      <c r="H31" s="76">
        <v>1</v>
      </c>
      <c r="I31" s="75">
        <v>38873.682999999997</v>
      </c>
      <c r="J31" s="76">
        <v>1</v>
      </c>
      <c r="K31" s="77"/>
      <c r="L31" s="77"/>
    </row>
    <row r="32" spans="1:12" x14ac:dyDescent="0.25">
      <c r="A32" s="74" t="s">
        <v>37</v>
      </c>
      <c r="B32" s="74" t="s">
        <v>38</v>
      </c>
      <c r="C32" s="74" t="s">
        <v>30</v>
      </c>
      <c r="D32" s="75">
        <v>176865.63999999998</v>
      </c>
      <c r="E32" s="75">
        <v>176865.63999999998</v>
      </c>
      <c r="F32" s="76">
        <v>1</v>
      </c>
      <c r="G32" s="75">
        <v>176865.63999999998</v>
      </c>
      <c r="H32" s="76">
        <v>1</v>
      </c>
      <c r="I32" s="75">
        <v>176865.63999999998</v>
      </c>
      <c r="J32" s="76">
        <v>1</v>
      </c>
      <c r="K32" s="75">
        <v>0</v>
      </c>
      <c r="L32" s="76">
        <v>0</v>
      </c>
    </row>
    <row r="33" spans="1:12" ht="45" x14ac:dyDescent="0.25">
      <c r="A33" s="74" t="s">
        <v>37</v>
      </c>
      <c r="B33" s="74" t="s">
        <v>98</v>
      </c>
      <c r="C33" s="74" t="s">
        <v>40</v>
      </c>
      <c r="D33" s="75">
        <v>25932.61</v>
      </c>
      <c r="E33" s="75">
        <v>25932.61</v>
      </c>
      <c r="F33" s="76">
        <v>1</v>
      </c>
      <c r="G33" s="75">
        <v>25932.61</v>
      </c>
      <c r="H33" s="76">
        <v>1</v>
      </c>
      <c r="I33" s="75">
        <v>25932.61</v>
      </c>
      <c r="J33" s="76">
        <v>1</v>
      </c>
      <c r="K33" s="77"/>
      <c r="L33" s="77"/>
    </row>
    <row r="34" spans="1:12" x14ac:dyDescent="0.25">
      <c r="A34" s="74" t="s">
        <v>37</v>
      </c>
      <c r="B34" s="74" t="s">
        <v>39</v>
      </c>
      <c r="C34" s="74" t="s">
        <v>41</v>
      </c>
      <c r="D34" s="75">
        <v>48011.730000000018</v>
      </c>
      <c r="E34" s="75">
        <v>48011.730000000018</v>
      </c>
      <c r="F34" s="76">
        <v>1</v>
      </c>
      <c r="G34" s="75">
        <v>48011.730000000018</v>
      </c>
      <c r="H34" s="76">
        <v>1</v>
      </c>
      <c r="I34" s="75">
        <v>48011.730000000018</v>
      </c>
      <c r="J34" s="76">
        <v>1</v>
      </c>
      <c r="K34" s="75">
        <v>0</v>
      </c>
      <c r="L34" s="76">
        <v>0</v>
      </c>
    </row>
    <row r="35" spans="1:12" x14ac:dyDescent="0.25">
      <c r="A35" s="74" t="s">
        <v>48</v>
      </c>
      <c r="B35" s="74" t="s">
        <v>50</v>
      </c>
      <c r="C35" s="74" t="s">
        <v>30</v>
      </c>
      <c r="D35" s="75">
        <v>161909.82999999999</v>
      </c>
      <c r="E35" s="75">
        <v>161909.82999999999</v>
      </c>
      <c r="F35" s="76">
        <v>1</v>
      </c>
      <c r="G35" s="75">
        <v>161909.82999999999</v>
      </c>
      <c r="H35" s="76">
        <v>1</v>
      </c>
      <c r="I35" s="75">
        <v>161909.82999999999</v>
      </c>
      <c r="J35" s="76">
        <v>1</v>
      </c>
      <c r="K35" s="75">
        <v>0</v>
      </c>
      <c r="L35" s="76">
        <v>0</v>
      </c>
    </row>
    <row r="36" spans="1:12" ht="45" x14ac:dyDescent="0.25">
      <c r="A36" s="74" t="s">
        <v>48</v>
      </c>
      <c r="B36" s="74" t="s">
        <v>99</v>
      </c>
      <c r="C36" s="74" t="s">
        <v>40</v>
      </c>
      <c r="D36" s="75">
        <v>36020.75</v>
      </c>
      <c r="E36" s="75">
        <v>36020.75</v>
      </c>
      <c r="F36" s="76">
        <v>1</v>
      </c>
      <c r="G36" s="75">
        <v>36020.75</v>
      </c>
      <c r="H36" s="76">
        <v>1</v>
      </c>
      <c r="I36" s="75">
        <v>36020.75</v>
      </c>
      <c r="J36" s="76">
        <v>1</v>
      </c>
      <c r="K36" s="77"/>
      <c r="L36" s="77"/>
    </row>
    <row r="37" spans="1:12" x14ac:dyDescent="0.25">
      <c r="A37" s="74" t="s">
        <v>48</v>
      </c>
      <c r="B37" s="74" t="s">
        <v>49</v>
      </c>
      <c r="C37" s="74" t="s">
        <v>41</v>
      </c>
      <c r="D37" s="75">
        <v>161909.82999999999</v>
      </c>
      <c r="E37" s="75">
        <v>161909.82999999999</v>
      </c>
      <c r="F37" s="76">
        <v>1</v>
      </c>
      <c r="G37" s="75">
        <v>161909.82999999999</v>
      </c>
      <c r="H37" s="76">
        <v>1</v>
      </c>
      <c r="I37" s="75">
        <v>161909.82999999999</v>
      </c>
      <c r="J37" s="76">
        <v>1</v>
      </c>
      <c r="K37" s="75">
        <v>0</v>
      </c>
      <c r="L37" s="76">
        <v>0</v>
      </c>
    </row>
    <row r="38" spans="1:12" x14ac:dyDescent="0.25">
      <c r="A38" s="74" t="s">
        <v>48</v>
      </c>
      <c r="B38" s="74" t="s">
        <v>53</v>
      </c>
      <c r="C38" s="74" t="s">
        <v>30</v>
      </c>
      <c r="D38" s="75">
        <v>38583.480000000003</v>
      </c>
      <c r="E38" s="75">
        <v>38583.480000000003</v>
      </c>
      <c r="F38" s="76">
        <v>1</v>
      </c>
      <c r="G38" s="75">
        <v>38583.480000000003</v>
      </c>
      <c r="H38" s="76">
        <v>1</v>
      </c>
      <c r="I38" s="75">
        <v>38583.480000000003</v>
      </c>
      <c r="J38" s="76">
        <v>1</v>
      </c>
      <c r="K38" s="75">
        <v>350.74984454545466</v>
      </c>
      <c r="L38" s="76">
        <v>9.0906741575787001E-3</v>
      </c>
    </row>
    <row r="39" spans="1:12" x14ac:dyDescent="0.25">
      <c r="A39" s="74" t="s">
        <v>42</v>
      </c>
      <c r="B39" s="74" t="s">
        <v>43</v>
      </c>
      <c r="C39" s="74" t="s">
        <v>30</v>
      </c>
      <c r="D39" s="75">
        <v>117331.46</v>
      </c>
      <c r="E39" s="75">
        <v>117331.46</v>
      </c>
      <c r="F39" s="76">
        <v>1</v>
      </c>
      <c r="G39" s="75">
        <v>117331.46</v>
      </c>
      <c r="H39" s="76">
        <v>1</v>
      </c>
      <c r="I39" s="75">
        <v>117331.46</v>
      </c>
      <c r="J39" s="76">
        <v>1</v>
      </c>
      <c r="K39" s="75">
        <v>117331.46</v>
      </c>
      <c r="L39" s="76">
        <v>1</v>
      </c>
    </row>
    <row r="40" spans="1:12" ht="45" x14ac:dyDescent="0.25">
      <c r="A40" s="74" t="s">
        <v>42</v>
      </c>
      <c r="B40" s="74" t="s">
        <v>100</v>
      </c>
      <c r="C40" s="74" t="s">
        <v>40</v>
      </c>
      <c r="D40" s="75">
        <v>32085.040000000001</v>
      </c>
      <c r="E40" s="75">
        <v>32085.040000000001</v>
      </c>
      <c r="F40" s="76">
        <v>1</v>
      </c>
      <c r="G40" s="75">
        <v>32085.040000000001</v>
      </c>
      <c r="H40" s="76">
        <v>1</v>
      </c>
      <c r="I40" s="75">
        <v>32085.040000000001</v>
      </c>
      <c r="J40" s="76">
        <v>1</v>
      </c>
      <c r="K40" s="77"/>
      <c r="L40" s="77"/>
    </row>
    <row r="41" spans="1:12" x14ac:dyDescent="0.25">
      <c r="A41" s="74" t="s">
        <v>42</v>
      </c>
      <c r="B41" s="74" t="s">
        <v>44</v>
      </c>
      <c r="C41" s="74" t="s">
        <v>41</v>
      </c>
      <c r="D41" s="75">
        <v>52880.41</v>
      </c>
      <c r="E41" s="75">
        <v>52880.41</v>
      </c>
      <c r="F41" s="76">
        <v>1</v>
      </c>
      <c r="G41" s="75">
        <v>52880.41</v>
      </c>
      <c r="H41" s="76">
        <v>1</v>
      </c>
      <c r="I41" s="75">
        <v>52880.41</v>
      </c>
      <c r="J41" s="76">
        <v>1</v>
      </c>
      <c r="K41" s="75">
        <v>0</v>
      </c>
      <c r="L41" s="76">
        <v>0</v>
      </c>
    </row>
    <row r="42" spans="1:12" x14ac:dyDescent="0.25">
      <c r="A42" s="74" t="s">
        <v>42</v>
      </c>
      <c r="B42" s="74" t="s">
        <v>45</v>
      </c>
      <c r="C42" s="74" t="s">
        <v>46</v>
      </c>
      <c r="D42" s="75">
        <v>45121.45</v>
      </c>
      <c r="E42" s="75">
        <v>45121.45</v>
      </c>
      <c r="F42" s="76">
        <v>1</v>
      </c>
      <c r="G42" s="75">
        <v>45121.45</v>
      </c>
      <c r="H42" s="76">
        <v>1</v>
      </c>
      <c r="I42" s="75">
        <v>45121.45</v>
      </c>
      <c r="J42" s="76">
        <v>1</v>
      </c>
      <c r="K42" s="75">
        <v>45121.45</v>
      </c>
      <c r="L42" s="76">
        <v>1</v>
      </c>
    </row>
    <row r="43" spans="1:12" x14ac:dyDescent="0.25">
      <c r="A43" s="74" t="s">
        <v>42</v>
      </c>
      <c r="B43" s="74" t="s">
        <v>92</v>
      </c>
      <c r="C43" s="74" t="s">
        <v>30</v>
      </c>
      <c r="D43" s="75">
        <v>23254.952350000007</v>
      </c>
      <c r="E43" s="75">
        <v>23254.952350000007</v>
      </c>
      <c r="F43" s="76">
        <v>1</v>
      </c>
      <c r="G43" s="75">
        <v>23254.952350000007</v>
      </c>
      <c r="H43" s="76">
        <v>1</v>
      </c>
      <c r="I43" s="75">
        <v>23254.952350000007</v>
      </c>
      <c r="J43" s="76">
        <v>1</v>
      </c>
      <c r="K43" s="75">
        <v>0</v>
      </c>
      <c r="L43" s="76">
        <v>0</v>
      </c>
    </row>
    <row r="44" spans="1:12" x14ac:dyDescent="0.25">
      <c r="A44" s="74" t="s">
        <v>128</v>
      </c>
      <c r="B44" s="74" t="s">
        <v>128</v>
      </c>
      <c r="C44" s="74" t="s">
        <v>30</v>
      </c>
      <c r="D44" s="75">
        <v>733.58</v>
      </c>
      <c r="E44" s="75">
        <v>733.58</v>
      </c>
      <c r="F44" s="76">
        <v>1</v>
      </c>
      <c r="G44" s="75">
        <v>0</v>
      </c>
      <c r="H44" s="76">
        <v>0</v>
      </c>
      <c r="I44" s="75">
        <v>0</v>
      </c>
      <c r="J44" s="76">
        <v>0</v>
      </c>
      <c r="K44" s="77"/>
      <c r="L44" s="77"/>
    </row>
    <row r="45" spans="1:12" x14ac:dyDescent="0.25">
      <c r="A45" s="74" t="s">
        <v>47</v>
      </c>
      <c r="B45" s="74" t="s">
        <v>47</v>
      </c>
      <c r="C45" s="74" t="s">
        <v>30</v>
      </c>
      <c r="D45" s="75">
        <v>231366.76</v>
      </c>
      <c r="E45" s="75">
        <v>231366.76</v>
      </c>
      <c r="F45" s="76">
        <v>1</v>
      </c>
      <c r="G45" s="75">
        <v>231366.76</v>
      </c>
      <c r="H45" s="76">
        <v>1</v>
      </c>
      <c r="I45" s="75">
        <v>231366.76</v>
      </c>
      <c r="J45" s="76">
        <v>1</v>
      </c>
      <c r="K45" s="75">
        <v>197529.26080194977</v>
      </c>
      <c r="L45" s="76">
        <v>0.85374952219562461</v>
      </c>
    </row>
    <row r="46" spans="1:12" x14ac:dyDescent="0.25">
      <c r="A46" s="74" t="s">
        <v>51</v>
      </c>
      <c r="B46" s="74" t="s">
        <v>73</v>
      </c>
      <c r="C46" s="74" t="s">
        <v>30</v>
      </c>
      <c r="D46" s="75">
        <v>37063.279999999999</v>
      </c>
      <c r="E46" s="75">
        <v>37063.279999999999</v>
      </c>
      <c r="F46" s="76">
        <v>1</v>
      </c>
      <c r="G46" s="75">
        <v>37063.279999999999</v>
      </c>
      <c r="H46" s="76">
        <v>1</v>
      </c>
      <c r="I46" s="75">
        <v>32430.37</v>
      </c>
      <c r="J46" s="76">
        <v>0.875</v>
      </c>
      <c r="K46" s="75">
        <v>0</v>
      </c>
      <c r="L46" s="76">
        <v>0</v>
      </c>
    </row>
    <row r="47" spans="1:12" x14ac:dyDescent="0.25">
      <c r="A47" s="74" t="s">
        <v>51</v>
      </c>
      <c r="B47" s="74" t="s">
        <v>73</v>
      </c>
      <c r="C47" s="74" t="s">
        <v>46</v>
      </c>
      <c r="D47" s="75">
        <v>37063.279999999999</v>
      </c>
      <c r="E47" s="75">
        <v>28826.995555555553</v>
      </c>
      <c r="F47" s="76">
        <v>0.77777777777777779</v>
      </c>
      <c r="G47" s="75">
        <v>28826.995555555553</v>
      </c>
      <c r="H47" s="76">
        <v>0.77777777777777779</v>
      </c>
      <c r="I47" s="75">
        <v>26767.924444444445</v>
      </c>
      <c r="J47" s="76">
        <v>0.72222222222222221</v>
      </c>
      <c r="K47" s="75">
        <v>0</v>
      </c>
      <c r="L47" s="76">
        <v>0</v>
      </c>
    </row>
    <row r="48" spans="1:12" x14ac:dyDescent="0.25">
      <c r="A48" s="74" t="s">
        <v>51</v>
      </c>
      <c r="B48" s="74" t="s">
        <v>73</v>
      </c>
      <c r="C48" s="74" t="s">
        <v>74</v>
      </c>
      <c r="D48" s="75">
        <v>37063.279999999999</v>
      </c>
      <c r="E48" s="75">
        <v>37063.279999999999</v>
      </c>
      <c r="F48" s="76">
        <v>1</v>
      </c>
      <c r="G48" s="75">
        <v>37063.279999999999</v>
      </c>
      <c r="H48" s="76">
        <v>1</v>
      </c>
      <c r="I48" s="75">
        <v>0</v>
      </c>
      <c r="J48" s="76">
        <v>0</v>
      </c>
      <c r="K48" s="75">
        <v>0</v>
      </c>
      <c r="L48" s="76">
        <v>0</v>
      </c>
    </row>
    <row r="49" spans="1:12" x14ac:dyDescent="0.25">
      <c r="A49" s="74" t="s">
        <v>51</v>
      </c>
      <c r="B49" s="74" t="s">
        <v>72</v>
      </c>
      <c r="C49" s="74" t="s">
        <v>46</v>
      </c>
      <c r="D49" s="75">
        <v>112594.34</v>
      </c>
      <c r="E49" s="75">
        <v>112594.34</v>
      </c>
      <c r="F49" s="76">
        <v>1</v>
      </c>
      <c r="G49" s="75">
        <v>112594.34</v>
      </c>
      <c r="H49" s="76">
        <v>1</v>
      </c>
      <c r="I49" s="75">
        <v>112594.34</v>
      </c>
      <c r="J49" s="76">
        <v>1</v>
      </c>
      <c r="K49" s="75">
        <v>0</v>
      </c>
      <c r="L49" s="76">
        <v>0</v>
      </c>
    </row>
    <row r="50" spans="1:12" x14ac:dyDescent="0.25">
      <c r="A50" s="74" t="s">
        <v>51</v>
      </c>
      <c r="B50" s="74" t="s">
        <v>69</v>
      </c>
      <c r="C50" s="74" t="s">
        <v>70</v>
      </c>
      <c r="D50" s="75">
        <v>103605.23999999983</v>
      </c>
      <c r="E50" s="75">
        <v>103605.23999999983</v>
      </c>
      <c r="F50" s="76">
        <v>1</v>
      </c>
      <c r="G50" s="75">
        <v>103605.23999999983</v>
      </c>
      <c r="H50" s="76">
        <v>1</v>
      </c>
      <c r="I50" s="75">
        <v>103605.23999999983</v>
      </c>
      <c r="J50" s="76">
        <v>1</v>
      </c>
      <c r="K50" s="75">
        <v>0</v>
      </c>
      <c r="L50" s="76">
        <v>0</v>
      </c>
    </row>
    <row r="51" spans="1:12" x14ac:dyDescent="0.25">
      <c r="A51" s="74" t="s">
        <v>51</v>
      </c>
      <c r="B51" s="74" t="s">
        <v>68</v>
      </c>
      <c r="C51" s="74" t="s">
        <v>30</v>
      </c>
      <c r="D51" s="75">
        <v>91700.06</v>
      </c>
      <c r="E51" s="75">
        <v>91700.06</v>
      </c>
      <c r="F51" s="76">
        <v>1</v>
      </c>
      <c r="G51" s="75">
        <v>91700.06</v>
      </c>
      <c r="H51" s="76">
        <v>1</v>
      </c>
      <c r="I51" s="75">
        <v>91700.06</v>
      </c>
      <c r="J51" s="76">
        <v>1</v>
      </c>
      <c r="K51" s="75">
        <v>9324.4140034894335</v>
      </c>
      <c r="L51" s="76">
        <v>0.10168383754044909</v>
      </c>
    </row>
    <row r="52" spans="1:12" x14ac:dyDescent="0.25">
      <c r="A52" s="74" t="s">
        <v>51</v>
      </c>
      <c r="B52" s="74" t="s">
        <v>68</v>
      </c>
      <c r="C52" s="74" t="s">
        <v>61</v>
      </c>
      <c r="D52" s="75">
        <v>3911.9090000000001</v>
      </c>
      <c r="E52" s="75">
        <v>3911.9090000000001</v>
      </c>
      <c r="F52" s="76">
        <v>1</v>
      </c>
      <c r="G52" s="75">
        <v>3911.9090000000001</v>
      </c>
      <c r="H52" s="76">
        <v>1</v>
      </c>
      <c r="I52" s="75">
        <v>3911.9090000000001</v>
      </c>
      <c r="J52" s="76">
        <v>1</v>
      </c>
      <c r="K52" s="75">
        <v>348.38469903147336</v>
      </c>
      <c r="L52" s="76">
        <v>8.9057465046214868E-2</v>
      </c>
    </row>
    <row r="53" spans="1:12" x14ac:dyDescent="0.25">
      <c r="A53" s="74" t="s">
        <v>51</v>
      </c>
      <c r="B53" s="74" t="s">
        <v>68</v>
      </c>
      <c r="C53" s="74" t="s">
        <v>46</v>
      </c>
      <c r="D53" s="75">
        <v>313.09100000000001</v>
      </c>
      <c r="E53" s="75">
        <v>313.09100000000001</v>
      </c>
      <c r="F53" s="76">
        <v>1</v>
      </c>
      <c r="G53" s="75">
        <v>313.09100000000001</v>
      </c>
      <c r="H53" s="76">
        <v>1</v>
      </c>
      <c r="I53" s="75">
        <v>313.09100000000001</v>
      </c>
      <c r="J53" s="76">
        <v>1</v>
      </c>
      <c r="K53" s="75">
        <v>313.09082429299076</v>
      </c>
      <c r="L53" s="76">
        <v>0.99999943879891395</v>
      </c>
    </row>
    <row r="54" spans="1:12" x14ac:dyDescent="0.25">
      <c r="A54" s="74" t="s">
        <v>51</v>
      </c>
      <c r="B54" s="74" t="s">
        <v>60</v>
      </c>
      <c r="C54" s="74" t="s">
        <v>30</v>
      </c>
      <c r="D54" s="75">
        <v>90800.14</v>
      </c>
      <c r="E54" s="75">
        <v>90800.14</v>
      </c>
      <c r="F54" s="76">
        <v>1</v>
      </c>
      <c r="G54" s="75">
        <v>90800.14</v>
      </c>
      <c r="H54" s="76">
        <v>1</v>
      </c>
      <c r="I54" s="75">
        <v>90800.14</v>
      </c>
      <c r="J54" s="76">
        <v>1</v>
      </c>
      <c r="K54" s="75">
        <v>10153.047824795449</v>
      </c>
      <c r="L54" s="76">
        <v>0.11181753491564494</v>
      </c>
    </row>
    <row r="55" spans="1:12" x14ac:dyDescent="0.25">
      <c r="A55" s="74" t="s">
        <v>51</v>
      </c>
      <c r="B55" s="74" t="s">
        <v>60</v>
      </c>
      <c r="C55" s="74" t="s">
        <v>61</v>
      </c>
      <c r="D55" s="75">
        <v>3099.45</v>
      </c>
      <c r="E55" s="75">
        <v>3099.45</v>
      </c>
      <c r="F55" s="76">
        <v>1</v>
      </c>
      <c r="G55" s="75">
        <v>3099.45</v>
      </c>
      <c r="H55" s="76">
        <v>1</v>
      </c>
      <c r="I55" s="75">
        <v>3099.45</v>
      </c>
      <c r="J55" s="76">
        <v>1</v>
      </c>
      <c r="K55" s="75">
        <v>316.12053666945536</v>
      </c>
      <c r="L55" s="76">
        <v>0.10199246210439122</v>
      </c>
    </row>
    <row r="56" spans="1:12" x14ac:dyDescent="0.25">
      <c r="A56" s="74" t="s">
        <v>51</v>
      </c>
      <c r="B56" s="74" t="s">
        <v>60</v>
      </c>
      <c r="C56" s="74" t="s">
        <v>46</v>
      </c>
      <c r="D56" s="75">
        <v>1909.55</v>
      </c>
      <c r="E56" s="75">
        <v>1909.55</v>
      </c>
      <c r="F56" s="76">
        <v>1</v>
      </c>
      <c r="G56" s="75">
        <v>1909.55</v>
      </c>
      <c r="H56" s="76">
        <v>1</v>
      </c>
      <c r="I56" s="75">
        <v>1909.55</v>
      </c>
      <c r="J56" s="76">
        <v>1</v>
      </c>
      <c r="K56" s="75">
        <v>1909.55</v>
      </c>
      <c r="L56" s="76">
        <v>1</v>
      </c>
    </row>
    <row r="57" spans="1:12" x14ac:dyDescent="0.25">
      <c r="A57" s="74" t="s">
        <v>51</v>
      </c>
      <c r="B57" s="74" t="s">
        <v>57</v>
      </c>
      <c r="C57" s="74" t="s">
        <v>30</v>
      </c>
      <c r="D57" s="75">
        <v>95330.38</v>
      </c>
      <c r="E57" s="75">
        <v>95330.38</v>
      </c>
      <c r="F57" s="76">
        <v>1</v>
      </c>
      <c r="G57" s="75">
        <v>95330.38</v>
      </c>
      <c r="H57" s="76">
        <v>1</v>
      </c>
      <c r="I57" s="75">
        <v>95330.38</v>
      </c>
      <c r="J57" s="76">
        <v>1</v>
      </c>
      <c r="K57" s="75">
        <v>10725.196913819915</v>
      </c>
      <c r="L57" s="76">
        <v>0.11250555084139929</v>
      </c>
    </row>
    <row r="58" spans="1:12" x14ac:dyDescent="0.25">
      <c r="A58" s="74" t="s">
        <v>51</v>
      </c>
      <c r="B58" s="74" t="s">
        <v>55</v>
      </c>
      <c r="C58" s="74" t="s">
        <v>30</v>
      </c>
      <c r="D58" s="75">
        <v>120097.08</v>
      </c>
      <c r="E58" s="75">
        <v>120097.08</v>
      </c>
      <c r="F58" s="76">
        <v>1</v>
      </c>
      <c r="G58" s="75">
        <v>120097.08</v>
      </c>
      <c r="H58" s="76">
        <v>1</v>
      </c>
      <c r="I58" s="75">
        <v>120097.08</v>
      </c>
      <c r="J58" s="76">
        <v>1</v>
      </c>
      <c r="K58" s="75">
        <v>0</v>
      </c>
      <c r="L58" s="76">
        <v>0</v>
      </c>
    </row>
    <row r="59" spans="1:12" x14ac:dyDescent="0.25">
      <c r="A59" s="74" t="s">
        <v>51</v>
      </c>
      <c r="B59" s="74" t="s">
        <v>55</v>
      </c>
      <c r="C59" s="74" t="s">
        <v>56</v>
      </c>
      <c r="D59" s="75">
        <v>377.43</v>
      </c>
      <c r="E59" s="75">
        <v>377.43</v>
      </c>
      <c r="F59" s="76">
        <v>1</v>
      </c>
      <c r="G59" s="75">
        <v>377.43</v>
      </c>
      <c r="H59" s="76">
        <v>1</v>
      </c>
      <c r="I59" s="75">
        <v>377.43</v>
      </c>
      <c r="J59" s="76">
        <v>1</v>
      </c>
      <c r="K59" s="75">
        <v>0</v>
      </c>
      <c r="L59" s="76">
        <v>0</v>
      </c>
    </row>
    <row r="60" spans="1:12" x14ac:dyDescent="0.25">
      <c r="A60" s="74" t="s">
        <v>51</v>
      </c>
      <c r="B60" s="74" t="s">
        <v>55</v>
      </c>
      <c r="C60" s="74" t="s">
        <v>46</v>
      </c>
      <c r="D60" s="75">
        <v>14276.64</v>
      </c>
      <c r="E60" s="75">
        <v>14276.64</v>
      </c>
      <c r="F60" s="76">
        <v>1</v>
      </c>
      <c r="G60" s="75">
        <v>14276.64</v>
      </c>
      <c r="H60" s="76">
        <v>1</v>
      </c>
      <c r="I60" s="75">
        <v>14276.64</v>
      </c>
      <c r="J60" s="76">
        <v>1</v>
      </c>
      <c r="K60" s="75">
        <v>0</v>
      </c>
      <c r="L60" s="76">
        <v>0</v>
      </c>
    </row>
    <row r="61" spans="1:12" x14ac:dyDescent="0.25">
      <c r="A61" s="74" t="s">
        <v>51</v>
      </c>
      <c r="B61" s="74" t="s">
        <v>52</v>
      </c>
      <c r="C61" s="74" t="s">
        <v>30</v>
      </c>
      <c r="D61" s="75">
        <v>68960.590000000026</v>
      </c>
      <c r="E61" s="75">
        <v>68960.590000000026</v>
      </c>
      <c r="F61" s="76">
        <v>1</v>
      </c>
      <c r="G61" s="75">
        <v>68960.590000000026</v>
      </c>
      <c r="H61" s="76">
        <v>1</v>
      </c>
      <c r="I61" s="75">
        <v>68960.590000000026</v>
      </c>
      <c r="J61" s="76">
        <v>1</v>
      </c>
      <c r="K61" s="75">
        <v>10984.872743362903</v>
      </c>
      <c r="L61" s="76">
        <v>0.15929203539823106</v>
      </c>
    </row>
    <row r="62" spans="1:12" ht="30" x14ac:dyDescent="0.25">
      <c r="A62" s="76" t="s">
        <v>114</v>
      </c>
      <c r="B62" s="76" t="s">
        <v>114</v>
      </c>
      <c r="C62" s="76" t="s">
        <v>114</v>
      </c>
      <c r="D62" s="76" t="s">
        <v>143</v>
      </c>
      <c r="E62" s="76" t="s">
        <v>144</v>
      </c>
      <c r="F62" s="76" t="s">
        <v>114</v>
      </c>
      <c r="G62" s="76" t="s">
        <v>145</v>
      </c>
      <c r="H62" s="76" t="s">
        <v>114</v>
      </c>
      <c r="I62" s="76" t="s">
        <v>146</v>
      </c>
      <c r="J62" s="76" t="s">
        <v>114</v>
      </c>
      <c r="K62" s="76" t="s">
        <v>115</v>
      </c>
      <c r="L62" s="76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62"/>
  <sheetViews>
    <sheetView topLeftCell="A32" workbookViewId="0">
      <selection activeCell="A2" sqref="A2:L61"/>
    </sheetView>
  </sheetViews>
  <sheetFormatPr defaultRowHeight="15" x14ac:dyDescent="0.25"/>
  <sheetData>
    <row r="1" spans="1:12" x14ac:dyDescent="0.25">
      <c r="A1" s="68" t="s">
        <v>102</v>
      </c>
      <c r="B1" s="68" t="s">
        <v>103</v>
      </c>
      <c r="C1" s="68" t="s">
        <v>104</v>
      </c>
      <c r="D1" s="68" t="s">
        <v>105</v>
      </c>
      <c r="E1" s="68" t="s">
        <v>106</v>
      </c>
      <c r="F1" s="68" t="s">
        <v>107</v>
      </c>
      <c r="G1" s="68" t="s">
        <v>108</v>
      </c>
      <c r="H1" s="68" t="s">
        <v>109</v>
      </c>
      <c r="I1" s="68" t="s">
        <v>110</v>
      </c>
      <c r="J1" s="68" t="s">
        <v>111</v>
      </c>
      <c r="K1" s="68" t="s">
        <v>112</v>
      </c>
      <c r="L1" s="68" t="s">
        <v>113</v>
      </c>
    </row>
    <row r="2" spans="1:12" x14ac:dyDescent="0.25">
      <c r="A2" s="69" t="s">
        <v>54</v>
      </c>
      <c r="B2" s="69" t="s">
        <v>82</v>
      </c>
      <c r="C2" s="69" t="s">
        <v>83</v>
      </c>
      <c r="D2" s="70">
        <v>61696.523999999998</v>
      </c>
      <c r="E2" s="70">
        <v>61696.523999999998</v>
      </c>
      <c r="F2" s="71">
        <v>1</v>
      </c>
      <c r="G2" s="70">
        <v>61696.523999999998</v>
      </c>
      <c r="H2" s="71">
        <v>1</v>
      </c>
      <c r="I2" s="70">
        <v>61696.523999999998</v>
      </c>
      <c r="J2" s="71">
        <v>1</v>
      </c>
      <c r="K2" s="70">
        <v>0</v>
      </c>
      <c r="L2" s="71">
        <v>0</v>
      </c>
    </row>
    <row r="3" spans="1:12" x14ac:dyDescent="0.25">
      <c r="A3" s="69" t="s">
        <v>54</v>
      </c>
      <c r="B3" s="69" t="s">
        <v>84</v>
      </c>
      <c r="C3" s="69" t="s">
        <v>83</v>
      </c>
      <c r="D3" s="70">
        <v>61512.597399999991</v>
      </c>
      <c r="E3" s="70">
        <v>61512.597399999991</v>
      </c>
      <c r="F3" s="71">
        <v>1</v>
      </c>
      <c r="G3" s="70">
        <v>0</v>
      </c>
      <c r="H3" s="71">
        <v>0</v>
      </c>
      <c r="I3" s="70">
        <v>0</v>
      </c>
      <c r="J3" s="71">
        <v>0</v>
      </c>
      <c r="K3" s="70">
        <v>0</v>
      </c>
      <c r="L3" s="71">
        <v>0</v>
      </c>
    </row>
    <row r="4" spans="1:12" x14ac:dyDescent="0.25">
      <c r="A4" s="69" t="s">
        <v>54</v>
      </c>
      <c r="B4" s="69" t="s">
        <v>94</v>
      </c>
      <c r="C4" s="69" t="s">
        <v>101</v>
      </c>
      <c r="D4" s="70">
        <v>116529.74</v>
      </c>
      <c r="E4" s="70">
        <v>58264.87</v>
      </c>
      <c r="F4" s="71">
        <v>0.5</v>
      </c>
      <c r="G4" s="70">
        <v>34958.921999999999</v>
      </c>
      <c r="H4" s="71">
        <v>0.3</v>
      </c>
      <c r="I4" s="70">
        <v>23305.948000000004</v>
      </c>
      <c r="J4" s="71">
        <v>0.2</v>
      </c>
      <c r="K4" s="70">
        <v>0</v>
      </c>
      <c r="L4" s="71">
        <v>0</v>
      </c>
    </row>
    <row r="5" spans="1:12" x14ac:dyDescent="0.25">
      <c r="A5" s="69" t="s">
        <v>54</v>
      </c>
      <c r="B5" s="69" t="s">
        <v>78</v>
      </c>
      <c r="C5" s="69" t="s">
        <v>59</v>
      </c>
      <c r="D5" s="70">
        <v>3632.6453241000008</v>
      </c>
      <c r="E5" s="70">
        <v>3632.6453241000008</v>
      </c>
      <c r="F5" s="71">
        <v>1</v>
      </c>
      <c r="G5" s="70">
        <v>3632.6453241000008</v>
      </c>
      <c r="H5" s="71">
        <v>1</v>
      </c>
      <c r="I5" s="70">
        <v>3632.6453241000008</v>
      </c>
      <c r="J5" s="71">
        <v>1</v>
      </c>
      <c r="K5" s="70">
        <v>82.560121002272751</v>
      </c>
      <c r="L5" s="71">
        <v>2.2727272727272728E-2</v>
      </c>
    </row>
    <row r="6" spans="1:12" ht="30" x14ac:dyDescent="0.25">
      <c r="A6" s="69" t="s">
        <v>54</v>
      </c>
      <c r="B6" s="69" t="s">
        <v>79</v>
      </c>
      <c r="C6" s="69" t="s">
        <v>59</v>
      </c>
      <c r="D6" s="70">
        <v>66526.931673225015</v>
      </c>
      <c r="E6" s="70">
        <v>66526.931673225015</v>
      </c>
      <c r="F6" s="71">
        <v>1</v>
      </c>
      <c r="G6" s="70">
        <v>66526.931673225015</v>
      </c>
      <c r="H6" s="71">
        <v>1</v>
      </c>
      <c r="I6" s="70">
        <v>66526.931673225015</v>
      </c>
      <c r="J6" s="71">
        <v>1</v>
      </c>
      <c r="K6" s="70">
        <v>0</v>
      </c>
      <c r="L6" s="71">
        <v>0</v>
      </c>
    </row>
    <row r="7" spans="1:12" ht="30" x14ac:dyDescent="0.25">
      <c r="A7" s="69" t="s">
        <v>54</v>
      </c>
      <c r="B7" s="69" t="s">
        <v>80</v>
      </c>
      <c r="C7" s="69" t="s">
        <v>59</v>
      </c>
      <c r="D7" s="70">
        <v>27322.570000000014</v>
      </c>
      <c r="E7" s="70">
        <v>27322.570000000014</v>
      </c>
      <c r="F7" s="71">
        <v>1</v>
      </c>
      <c r="G7" s="70">
        <v>27322.570000000014</v>
      </c>
      <c r="H7" s="71">
        <v>1</v>
      </c>
      <c r="I7" s="70">
        <v>27322.570000000014</v>
      </c>
      <c r="J7" s="71">
        <v>1</v>
      </c>
      <c r="K7" s="70">
        <v>0</v>
      </c>
      <c r="L7" s="71">
        <v>0</v>
      </c>
    </row>
    <row r="8" spans="1:12" ht="30" x14ac:dyDescent="0.25">
      <c r="A8" s="69" t="s">
        <v>54</v>
      </c>
      <c r="B8" s="69" t="s">
        <v>89</v>
      </c>
      <c r="C8" s="69" t="s">
        <v>59</v>
      </c>
      <c r="D8" s="70">
        <v>7738.9</v>
      </c>
      <c r="E8" s="72"/>
      <c r="F8" s="72"/>
      <c r="G8" s="72"/>
      <c r="H8" s="72"/>
      <c r="I8" s="72"/>
      <c r="J8" s="72"/>
      <c r="K8" s="70">
        <v>0</v>
      </c>
      <c r="L8" s="71">
        <v>0</v>
      </c>
    </row>
    <row r="9" spans="1:12" ht="30" x14ac:dyDescent="0.25">
      <c r="A9" s="69" t="s">
        <v>54</v>
      </c>
      <c r="B9" s="69" t="s">
        <v>90</v>
      </c>
      <c r="C9" s="69" t="s">
        <v>59</v>
      </c>
      <c r="D9" s="70">
        <v>12606.7</v>
      </c>
      <c r="E9" s="70">
        <v>12606.7</v>
      </c>
      <c r="F9" s="71">
        <v>1</v>
      </c>
      <c r="G9" s="70">
        <v>12606.7</v>
      </c>
      <c r="H9" s="71">
        <v>1</v>
      </c>
      <c r="I9" s="70">
        <v>12606.7</v>
      </c>
      <c r="J9" s="71">
        <v>1</v>
      </c>
      <c r="K9" s="70">
        <v>0</v>
      </c>
      <c r="L9" s="71">
        <v>0</v>
      </c>
    </row>
    <row r="10" spans="1:12" ht="30" x14ac:dyDescent="0.25">
      <c r="A10" s="69" t="s">
        <v>54</v>
      </c>
      <c r="B10" s="69" t="s">
        <v>87</v>
      </c>
      <c r="C10" s="69" t="s">
        <v>59</v>
      </c>
      <c r="D10" s="70">
        <v>11821.4</v>
      </c>
      <c r="E10" s="70">
        <v>11821.4</v>
      </c>
      <c r="F10" s="71">
        <v>1</v>
      </c>
      <c r="G10" s="70">
        <v>11821.4</v>
      </c>
      <c r="H10" s="71">
        <v>1</v>
      </c>
      <c r="I10" s="70">
        <v>11821.4</v>
      </c>
      <c r="J10" s="71">
        <v>1</v>
      </c>
      <c r="K10" s="70">
        <v>216.72407407407408</v>
      </c>
      <c r="L10" s="71">
        <v>1.833319861218418E-2</v>
      </c>
    </row>
    <row r="11" spans="1:12" ht="30" x14ac:dyDescent="0.25">
      <c r="A11" s="69" t="s">
        <v>54</v>
      </c>
      <c r="B11" s="69" t="s">
        <v>93</v>
      </c>
      <c r="C11" s="69" t="s">
        <v>59</v>
      </c>
      <c r="D11" s="70">
        <v>13649.20000000001</v>
      </c>
      <c r="E11" s="70">
        <v>13649.20000000001</v>
      </c>
      <c r="F11" s="71">
        <v>1</v>
      </c>
      <c r="G11" s="70">
        <v>13649.20000000001</v>
      </c>
      <c r="H11" s="71">
        <v>1</v>
      </c>
      <c r="I11" s="70">
        <v>13649.20000000001</v>
      </c>
      <c r="J11" s="71">
        <v>1</v>
      </c>
      <c r="K11" s="70">
        <v>0</v>
      </c>
      <c r="L11" s="71">
        <v>0</v>
      </c>
    </row>
    <row r="12" spans="1:12" ht="30" x14ac:dyDescent="0.25">
      <c r="A12" s="69" t="s">
        <v>54</v>
      </c>
      <c r="B12" s="69" t="s">
        <v>58</v>
      </c>
      <c r="C12" s="69" t="s">
        <v>59</v>
      </c>
      <c r="D12" s="70">
        <v>18015.7</v>
      </c>
      <c r="E12" s="70">
        <v>18015.7</v>
      </c>
      <c r="F12" s="71">
        <v>1</v>
      </c>
      <c r="G12" s="70">
        <v>18015.7</v>
      </c>
      <c r="H12" s="71">
        <v>1</v>
      </c>
      <c r="I12" s="70">
        <v>18015.7</v>
      </c>
      <c r="J12" s="71">
        <v>1</v>
      </c>
      <c r="K12" s="70">
        <v>4230.9227077085816</v>
      </c>
      <c r="L12" s="71">
        <v>0.23484642327017999</v>
      </c>
    </row>
    <row r="13" spans="1:12" ht="30" x14ac:dyDescent="0.25">
      <c r="A13" s="69" t="s">
        <v>54</v>
      </c>
      <c r="B13" s="69" t="s">
        <v>77</v>
      </c>
      <c r="C13" s="69" t="s">
        <v>59</v>
      </c>
      <c r="D13" s="70">
        <v>14499.95</v>
      </c>
      <c r="E13" s="70">
        <v>14499.95</v>
      </c>
      <c r="F13" s="71">
        <v>1</v>
      </c>
      <c r="G13" s="70">
        <v>14499.95</v>
      </c>
      <c r="H13" s="71">
        <v>1</v>
      </c>
      <c r="I13" s="70">
        <v>14499.95</v>
      </c>
      <c r="J13" s="71">
        <v>1</v>
      </c>
      <c r="K13" s="70">
        <v>4423.4099160559299</v>
      </c>
      <c r="L13" s="71">
        <v>0.3050638047755978</v>
      </c>
    </row>
    <row r="14" spans="1:12" x14ac:dyDescent="0.25">
      <c r="A14" s="69" t="s">
        <v>54</v>
      </c>
      <c r="B14" s="69" t="s">
        <v>62</v>
      </c>
      <c r="C14" s="69" t="s">
        <v>63</v>
      </c>
      <c r="D14" s="70">
        <v>103272.7</v>
      </c>
      <c r="E14" s="70">
        <v>83601.709523809521</v>
      </c>
      <c r="F14" s="71">
        <v>0.80952380952380953</v>
      </c>
      <c r="G14" s="70">
        <v>73766.21428571429</v>
      </c>
      <c r="H14" s="71">
        <v>0.7142857142857143</v>
      </c>
      <c r="I14" s="70">
        <v>59012.971428571422</v>
      </c>
      <c r="J14" s="71">
        <v>0.5714285714285714</v>
      </c>
      <c r="K14" s="70">
        <v>0</v>
      </c>
      <c r="L14" s="71">
        <v>0</v>
      </c>
    </row>
    <row r="15" spans="1:12" x14ac:dyDescent="0.25">
      <c r="A15" s="69" t="s">
        <v>54</v>
      </c>
      <c r="B15" s="69" t="s">
        <v>64</v>
      </c>
      <c r="C15" s="69" t="s">
        <v>65</v>
      </c>
      <c r="D15" s="70">
        <v>21757.69</v>
      </c>
      <c r="E15" s="70">
        <v>21757.69</v>
      </c>
      <c r="F15" s="71">
        <v>1</v>
      </c>
      <c r="G15" s="70">
        <v>10878.844999999999</v>
      </c>
      <c r="H15" s="71">
        <v>0.5</v>
      </c>
      <c r="I15" s="70">
        <v>0</v>
      </c>
      <c r="J15" s="71">
        <v>0</v>
      </c>
      <c r="K15" s="70">
        <v>2607.4421395327126</v>
      </c>
      <c r="L15" s="71">
        <v>0.11984002619454145</v>
      </c>
    </row>
    <row r="16" spans="1:12" x14ac:dyDescent="0.25">
      <c r="A16" s="69" t="s">
        <v>54</v>
      </c>
      <c r="B16" s="69" t="s">
        <v>64</v>
      </c>
      <c r="C16" s="69" t="s">
        <v>66</v>
      </c>
      <c r="D16" s="70">
        <v>21757.69</v>
      </c>
      <c r="E16" s="70">
        <v>21757.69</v>
      </c>
      <c r="F16" s="71">
        <v>1</v>
      </c>
      <c r="G16" s="70">
        <v>21757.69</v>
      </c>
      <c r="H16" s="71">
        <v>1</v>
      </c>
      <c r="I16" s="70">
        <v>7252.5633333333326</v>
      </c>
      <c r="J16" s="71">
        <v>0.33333333333333331</v>
      </c>
      <c r="K16" s="70">
        <v>0</v>
      </c>
      <c r="L16" s="71">
        <v>0</v>
      </c>
    </row>
    <row r="17" spans="1:12" x14ac:dyDescent="0.25">
      <c r="A17" s="69" t="s">
        <v>54</v>
      </c>
      <c r="B17" s="69" t="s">
        <v>64</v>
      </c>
      <c r="C17" s="69" t="s">
        <v>63</v>
      </c>
      <c r="D17" s="70">
        <v>21757.69</v>
      </c>
      <c r="E17" s="70">
        <v>19581.920999999998</v>
      </c>
      <c r="F17" s="71">
        <v>0.9</v>
      </c>
      <c r="G17" s="70">
        <v>19581.920999999998</v>
      </c>
      <c r="H17" s="71">
        <v>0.9</v>
      </c>
      <c r="I17" s="70">
        <v>19581.920999999998</v>
      </c>
      <c r="J17" s="71">
        <v>0.9</v>
      </c>
      <c r="K17" s="70">
        <v>0</v>
      </c>
      <c r="L17" s="71">
        <v>0</v>
      </c>
    </row>
    <row r="18" spans="1:12" x14ac:dyDescent="0.25">
      <c r="A18" s="69" t="s">
        <v>54</v>
      </c>
      <c r="B18" s="69" t="s">
        <v>64</v>
      </c>
      <c r="C18" s="69" t="s">
        <v>67</v>
      </c>
      <c r="D18" s="70">
        <v>21757.69</v>
      </c>
      <c r="E18" s="70">
        <v>19779.718181818182</v>
      </c>
      <c r="F18" s="71">
        <v>0.90909090909090906</v>
      </c>
      <c r="G18" s="70">
        <v>19779.718181818182</v>
      </c>
      <c r="H18" s="71">
        <v>0.90909090909090906</v>
      </c>
      <c r="I18" s="70">
        <v>11867.830909090908</v>
      </c>
      <c r="J18" s="71">
        <v>0.54545454545454541</v>
      </c>
      <c r="K18" s="70">
        <v>0</v>
      </c>
      <c r="L18" s="71">
        <v>0</v>
      </c>
    </row>
    <row r="19" spans="1:12" x14ac:dyDescent="0.25">
      <c r="A19" s="69" t="s">
        <v>54</v>
      </c>
      <c r="B19" s="69" t="s">
        <v>71</v>
      </c>
      <c r="C19" s="69" t="s">
        <v>63</v>
      </c>
      <c r="D19" s="70">
        <v>82046.400000000009</v>
      </c>
      <c r="E19" s="70">
        <v>82046.400000000009</v>
      </c>
      <c r="F19" s="71">
        <v>1</v>
      </c>
      <c r="G19" s="70">
        <v>82046.400000000009</v>
      </c>
      <c r="H19" s="71">
        <v>1</v>
      </c>
      <c r="I19" s="70">
        <v>82046.400000000009</v>
      </c>
      <c r="J19" s="71">
        <v>1</v>
      </c>
      <c r="K19" s="70">
        <v>0</v>
      </c>
      <c r="L19" s="71">
        <v>0</v>
      </c>
    </row>
    <row r="20" spans="1:12" x14ac:dyDescent="0.25">
      <c r="A20" s="69" t="s">
        <v>54</v>
      </c>
      <c r="B20" s="69" t="s">
        <v>75</v>
      </c>
      <c r="C20" s="69" t="s">
        <v>76</v>
      </c>
      <c r="D20" s="70">
        <v>80497.16</v>
      </c>
      <c r="E20" s="70">
        <v>80497.16</v>
      </c>
      <c r="F20" s="71">
        <v>1</v>
      </c>
      <c r="G20" s="70">
        <v>80497.16</v>
      </c>
      <c r="H20" s="71">
        <v>1</v>
      </c>
      <c r="I20" s="70">
        <v>80497.16</v>
      </c>
      <c r="J20" s="71">
        <v>1</v>
      </c>
      <c r="K20" s="70">
        <v>0</v>
      </c>
      <c r="L20" s="71">
        <v>0</v>
      </c>
    </row>
    <row r="21" spans="1:12" x14ac:dyDescent="0.25">
      <c r="A21" s="69" t="s">
        <v>54</v>
      </c>
      <c r="B21" s="69" t="s">
        <v>81</v>
      </c>
      <c r="C21" s="69" t="s">
        <v>30</v>
      </c>
      <c r="D21" s="70">
        <v>89010.219999999987</v>
      </c>
      <c r="E21" s="70">
        <v>89010.219999999987</v>
      </c>
      <c r="F21" s="71">
        <v>1</v>
      </c>
      <c r="G21" s="70">
        <v>89010.219999999987</v>
      </c>
      <c r="H21" s="71">
        <v>1</v>
      </c>
      <c r="I21" s="70">
        <v>89010.219999999987</v>
      </c>
      <c r="J21" s="71">
        <v>1</v>
      </c>
      <c r="K21" s="70">
        <v>0</v>
      </c>
      <c r="L21" s="71">
        <v>0</v>
      </c>
    </row>
    <row r="22" spans="1:12" x14ac:dyDescent="0.25">
      <c r="A22" s="69" t="s">
        <v>54</v>
      </c>
      <c r="B22" s="69" t="s">
        <v>85</v>
      </c>
      <c r="C22" s="69" t="s">
        <v>30</v>
      </c>
      <c r="D22" s="70">
        <v>88239.10000000002</v>
      </c>
      <c r="E22" s="70">
        <v>88239.10000000002</v>
      </c>
      <c r="F22" s="71">
        <v>1</v>
      </c>
      <c r="G22" s="70">
        <v>88239.10000000002</v>
      </c>
      <c r="H22" s="71">
        <v>1</v>
      </c>
      <c r="I22" s="70">
        <v>88239.10000000002</v>
      </c>
      <c r="J22" s="71">
        <v>1</v>
      </c>
      <c r="K22" s="70">
        <v>0</v>
      </c>
      <c r="L22" s="71">
        <v>0</v>
      </c>
    </row>
    <row r="23" spans="1:12" x14ac:dyDescent="0.25">
      <c r="A23" s="69" t="s">
        <v>54</v>
      </c>
      <c r="B23" s="69" t="s">
        <v>86</v>
      </c>
      <c r="C23" s="69" t="s">
        <v>30</v>
      </c>
      <c r="D23" s="70">
        <v>61132.493900000001</v>
      </c>
      <c r="E23" s="70">
        <v>61132.493900000001</v>
      </c>
      <c r="F23" s="71">
        <v>1</v>
      </c>
      <c r="G23" s="70">
        <v>61132.493900000001</v>
      </c>
      <c r="H23" s="71">
        <v>1</v>
      </c>
      <c r="I23" s="70">
        <v>0</v>
      </c>
      <c r="J23" s="71">
        <v>0</v>
      </c>
      <c r="K23" s="70">
        <v>0</v>
      </c>
      <c r="L23" s="71">
        <v>0</v>
      </c>
    </row>
    <row r="24" spans="1:12" x14ac:dyDescent="0.25">
      <c r="A24" s="69" t="s">
        <v>54</v>
      </c>
      <c r="B24" s="69" t="s">
        <v>88</v>
      </c>
      <c r="C24" s="69" t="s">
        <v>63</v>
      </c>
      <c r="D24" s="70">
        <v>62868.84</v>
      </c>
      <c r="E24" s="70">
        <v>20432.373</v>
      </c>
      <c r="F24" s="71">
        <v>0.32500000000000001</v>
      </c>
      <c r="G24" s="70">
        <v>18860.651999999998</v>
      </c>
      <c r="H24" s="71">
        <v>0.3</v>
      </c>
      <c r="I24" s="70">
        <v>14145.489</v>
      </c>
      <c r="J24" s="71">
        <v>0.22500000000000001</v>
      </c>
      <c r="K24" s="70">
        <v>0</v>
      </c>
      <c r="L24" s="71">
        <v>0</v>
      </c>
    </row>
    <row r="25" spans="1:12" x14ac:dyDescent="0.25">
      <c r="A25" s="69" t="s">
        <v>54</v>
      </c>
      <c r="B25" s="69" t="s">
        <v>91</v>
      </c>
      <c r="C25" s="69" t="s">
        <v>63</v>
      </c>
      <c r="D25" s="70">
        <v>76828.36</v>
      </c>
      <c r="E25" s="70">
        <v>0</v>
      </c>
      <c r="F25" s="71">
        <v>0</v>
      </c>
      <c r="G25" s="70">
        <v>0</v>
      </c>
      <c r="H25" s="71">
        <v>0</v>
      </c>
      <c r="I25" s="70">
        <v>0</v>
      </c>
      <c r="J25" s="71">
        <v>0</v>
      </c>
      <c r="K25" s="70">
        <v>0</v>
      </c>
      <c r="L25" s="71">
        <v>0</v>
      </c>
    </row>
    <row r="26" spans="1:12" x14ac:dyDescent="0.25">
      <c r="A26" s="69" t="s">
        <v>27</v>
      </c>
      <c r="B26" s="69" t="s">
        <v>28</v>
      </c>
      <c r="C26" s="69" t="s">
        <v>30</v>
      </c>
      <c r="D26" s="70">
        <v>166217.75</v>
      </c>
      <c r="E26" s="70">
        <v>166217.75</v>
      </c>
      <c r="F26" s="71">
        <v>1</v>
      </c>
      <c r="G26" s="70">
        <v>166217.75</v>
      </c>
      <c r="H26" s="71">
        <v>1</v>
      </c>
      <c r="I26" s="70">
        <v>166217.75</v>
      </c>
      <c r="J26" s="71">
        <v>1</v>
      </c>
      <c r="K26" s="70">
        <v>0</v>
      </c>
      <c r="L26" s="71">
        <v>0</v>
      </c>
    </row>
    <row r="27" spans="1:12" ht="45" x14ac:dyDescent="0.25">
      <c r="A27" s="69" t="s">
        <v>27</v>
      </c>
      <c r="B27" s="69" t="s">
        <v>96</v>
      </c>
      <c r="C27" s="69" t="s">
        <v>32</v>
      </c>
      <c r="D27" s="70">
        <v>10000</v>
      </c>
      <c r="E27" s="70">
        <v>10000</v>
      </c>
      <c r="F27" s="71">
        <v>1</v>
      </c>
      <c r="G27" s="70">
        <v>10000</v>
      </c>
      <c r="H27" s="71">
        <v>1</v>
      </c>
      <c r="I27" s="70">
        <v>10000</v>
      </c>
      <c r="J27" s="71">
        <v>1</v>
      </c>
      <c r="K27" s="72"/>
      <c r="L27" s="72"/>
    </row>
    <row r="28" spans="1:12" x14ac:dyDescent="0.25">
      <c r="A28" s="69" t="s">
        <v>27</v>
      </c>
      <c r="B28" s="69" t="s">
        <v>31</v>
      </c>
      <c r="C28" s="69" t="s">
        <v>33</v>
      </c>
      <c r="D28" s="70">
        <v>105523.13032</v>
      </c>
      <c r="E28" s="70">
        <v>105523.13032</v>
      </c>
      <c r="F28" s="71">
        <v>1</v>
      </c>
      <c r="G28" s="70">
        <v>105523.13032</v>
      </c>
      <c r="H28" s="71">
        <v>1</v>
      </c>
      <c r="I28" s="70">
        <v>105523.13032</v>
      </c>
      <c r="J28" s="71">
        <v>1</v>
      </c>
      <c r="K28" s="70">
        <v>0</v>
      </c>
      <c r="L28" s="71">
        <v>0</v>
      </c>
    </row>
    <row r="29" spans="1:12" ht="45" x14ac:dyDescent="0.25">
      <c r="A29" s="69" t="s">
        <v>27</v>
      </c>
      <c r="B29" s="69" t="s">
        <v>97</v>
      </c>
      <c r="C29" s="69" t="s">
        <v>35</v>
      </c>
      <c r="D29" s="70">
        <v>8130</v>
      </c>
      <c r="E29" s="70">
        <v>8130</v>
      </c>
      <c r="F29" s="71">
        <v>1</v>
      </c>
      <c r="G29" s="70">
        <v>8130</v>
      </c>
      <c r="H29" s="71">
        <v>1</v>
      </c>
      <c r="I29" s="70">
        <v>8130</v>
      </c>
      <c r="J29" s="71">
        <v>1</v>
      </c>
      <c r="K29" s="72"/>
      <c r="L29" s="72"/>
    </row>
    <row r="30" spans="1:12" x14ac:dyDescent="0.25">
      <c r="A30" s="69" t="s">
        <v>27</v>
      </c>
      <c r="B30" s="69" t="s">
        <v>34</v>
      </c>
      <c r="C30" s="69" t="s">
        <v>36</v>
      </c>
      <c r="D30" s="70">
        <v>23734.43</v>
      </c>
      <c r="E30" s="70">
        <v>23734.43</v>
      </c>
      <c r="F30" s="71">
        <v>1</v>
      </c>
      <c r="G30" s="70">
        <v>23734.43</v>
      </c>
      <c r="H30" s="71">
        <v>1</v>
      </c>
      <c r="I30" s="70">
        <v>23734.43</v>
      </c>
      <c r="J30" s="71">
        <v>1</v>
      </c>
      <c r="K30" s="70">
        <v>23734.43</v>
      </c>
      <c r="L30" s="71">
        <v>1</v>
      </c>
    </row>
    <row r="31" spans="1:12" x14ac:dyDescent="0.25">
      <c r="A31" s="69" t="s">
        <v>27</v>
      </c>
      <c r="B31" s="69" t="s">
        <v>95</v>
      </c>
      <c r="C31" s="69" t="s">
        <v>29</v>
      </c>
      <c r="D31" s="70">
        <v>38873.682999999997</v>
      </c>
      <c r="E31" s="70">
        <v>38873.682999999997</v>
      </c>
      <c r="F31" s="71">
        <v>1</v>
      </c>
      <c r="G31" s="70">
        <v>38873.682999999997</v>
      </c>
      <c r="H31" s="71">
        <v>1</v>
      </c>
      <c r="I31" s="70">
        <v>38873.682999999997</v>
      </c>
      <c r="J31" s="71">
        <v>1</v>
      </c>
      <c r="K31" s="72"/>
      <c r="L31" s="72"/>
    </row>
    <row r="32" spans="1:12" x14ac:dyDescent="0.25">
      <c r="A32" s="69" t="s">
        <v>37</v>
      </c>
      <c r="B32" s="69" t="s">
        <v>38</v>
      </c>
      <c r="C32" s="69" t="s">
        <v>30</v>
      </c>
      <c r="D32" s="70">
        <v>176865.63999999998</v>
      </c>
      <c r="E32" s="70">
        <v>176865.63999999998</v>
      </c>
      <c r="F32" s="71">
        <v>1</v>
      </c>
      <c r="G32" s="70">
        <v>176865.63999999998</v>
      </c>
      <c r="H32" s="71">
        <v>1</v>
      </c>
      <c r="I32" s="70">
        <v>176865.63999999998</v>
      </c>
      <c r="J32" s="71">
        <v>1</v>
      </c>
      <c r="K32" s="70">
        <v>0</v>
      </c>
      <c r="L32" s="71">
        <v>0</v>
      </c>
    </row>
    <row r="33" spans="1:12" ht="45" x14ac:dyDescent="0.25">
      <c r="A33" s="69" t="s">
        <v>37</v>
      </c>
      <c r="B33" s="69" t="s">
        <v>98</v>
      </c>
      <c r="C33" s="69" t="s">
        <v>40</v>
      </c>
      <c r="D33" s="70">
        <v>25932.61</v>
      </c>
      <c r="E33" s="70">
        <v>25932.61</v>
      </c>
      <c r="F33" s="71">
        <v>1</v>
      </c>
      <c r="G33" s="70">
        <v>25932.61</v>
      </c>
      <c r="H33" s="71">
        <v>1</v>
      </c>
      <c r="I33" s="70">
        <v>25932.61</v>
      </c>
      <c r="J33" s="71">
        <v>1</v>
      </c>
      <c r="K33" s="72"/>
      <c r="L33" s="72"/>
    </row>
    <row r="34" spans="1:12" x14ac:dyDescent="0.25">
      <c r="A34" s="69" t="s">
        <v>37</v>
      </c>
      <c r="B34" s="69" t="s">
        <v>39</v>
      </c>
      <c r="C34" s="69" t="s">
        <v>41</v>
      </c>
      <c r="D34" s="70">
        <v>48011.730000000018</v>
      </c>
      <c r="E34" s="70">
        <v>48011.730000000018</v>
      </c>
      <c r="F34" s="71">
        <v>1</v>
      </c>
      <c r="G34" s="70">
        <v>48011.730000000018</v>
      </c>
      <c r="H34" s="71">
        <v>1</v>
      </c>
      <c r="I34" s="70">
        <v>48011.730000000018</v>
      </c>
      <c r="J34" s="71">
        <v>1</v>
      </c>
      <c r="K34" s="70">
        <v>0</v>
      </c>
      <c r="L34" s="71">
        <v>0</v>
      </c>
    </row>
    <row r="35" spans="1:12" x14ac:dyDescent="0.25">
      <c r="A35" s="69" t="s">
        <v>48</v>
      </c>
      <c r="B35" s="69" t="s">
        <v>50</v>
      </c>
      <c r="C35" s="69" t="s">
        <v>30</v>
      </c>
      <c r="D35" s="70">
        <v>161909.82999999999</v>
      </c>
      <c r="E35" s="70">
        <v>161909.82999999999</v>
      </c>
      <c r="F35" s="71">
        <v>1</v>
      </c>
      <c r="G35" s="70">
        <v>161909.82999999999</v>
      </c>
      <c r="H35" s="71">
        <v>1</v>
      </c>
      <c r="I35" s="70">
        <v>161909.82999999999</v>
      </c>
      <c r="J35" s="71">
        <v>1</v>
      </c>
      <c r="K35" s="70">
        <v>0</v>
      </c>
      <c r="L35" s="71">
        <v>0</v>
      </c>
    </row>
    <row r="36" spans="1:12" ht="45" x14ac:dyDescent="0.25">
      <c r="A36" s="69" t="s">
        <v>48</v>
      </c>
      <c r="B36" s="69" t="s">
        <v>99</v>
      </c>
      <c r="C36" s="69" t="s">
        <v>40</v>
      </c>
      <c r="D36" s="70">
        <v>36020.75</v>
      </c>
      <c r="E36" s="70">
        <v>36020.75</v>
      </c>
      <c r="F36" s="71">
        <v>1</v>
      </c>
      <c r="G36" s="70">
        <v>36020.75</v>
      </c>
      <c r="H36" s="71">
        <v>1</v>
      </c>
      <c r="I36" s="70">
        <v>36020.75</v>
      </c>
      <c r="J36" s="71">
        <v>1</v>
      </c>
      <c r="K36" s="72"/>
      <c r="L36" s="72"/>
    </row>
    <row r="37" spans="1:12" x14ac:dyDescent="0.25">
      <c r="A37" s="69" t="s">
        <v>48</v>
      </c>
      <c r="B37" s="69" t="s">
        <v>49</v>
      </c>
      <c r="C37" s="69" t="s">
        <v>41</v>
      </c>
      <c r="D37" s="70">
        <v>161909.82999999999</v>
      </c>
      <c r="E37" s="70">
        <v>161909.82999999999</v>
      </c>
      <c r="F37" s="71">
        <v>1</v>
      </c>
      <c r="G37" s="70">
        <v>161909.82999999999</v>
      </c>
      <c r="H37" s="71">
        <v>1</v>
      </c>
      <c r="I37" s="70">
        <v>161909.82999999999</v>
      </c>
      <c r="J37" s="71">
        <v>1</v>
      </c>
      <c r="K37" s="70">
        <v>0</v>
      </c>
      <c r="L37" s="71">
        <v>0</v>
      </c>
    </row>
    <row r="38" spans="1:12" x14ac:dyDescent="0.25">
      <c r="A38" s="69" t="s">
        <v>48</v>
      </c>
      <c r="B38" s="69" t="s">
        <v>53</v>
      </c>
      <c r="C38" s="69" t="s">
        <v>30</v>
      </c>
      <c r="D38" s="70">
        <v>38583.480000000003</v>
      </c>
      <c r="E38" s="70">
        <v>38583.480000000003</v>
      </c>
      <c r="F38" s="71">
        <v>1</v>
      </c>
      <c r="G38" s="70">
        <v>38583.480000000003</v>
      </c>
      <c r="H38" s="71">
        <v>1</v>
      </c>
      <c r="I38" s="70">
        <v>38583.480000000003</v>
      </c>
      <c r="J38" s="71">
        <v>1</v>
      </c>
      <c r="K38" s="70">
        <v>350.74984454545466</v>
      </c>
      <c r="L38" s="71">
        <v>9.0906741575787001E-3</v>
      </c>
    </row>
    <row r="39" spans="1:12" x14ac:dyDescent="0.25">
      <c r="A39" s="69" t="s">
        <v>42</v>
      </c>
      <c r="B39" s="69" t="s">
        <v>43</v>
      </c>
      <c r="C39" s="69" t="s">
        <v>30</v>
      </c>
      <c r="D39" s="70">
        <v>117331.46</v>
      </c>
      <c r="E39" s="70">
        <v>117331.46</v>
      </c>
      <c r="F39" s="71">
        <v>1</v>
      </c>
      <c r="G39" s="70">
        <v>117331.46</v>
      </c>
      <c r="H39" s="71">
        <v>1</v>
      </c>
      <c r="I39" s="70">
        <v>117331.46</v>
      </c>
      <c r="J39" s="71">
        <v>1</v>
      </c>
      <c r="K39" s="70">
        <v>117331.46</v>
      </c>
      <c r="L39" s="71">
        <v>1</v>
      </c>
    </row>
    <row r="40" spans="1:12" ht="45" x14ac:dyDescent="0.25">
      <c r="A40" s="69" t="s">
        <v>42</v>
      </c>
      <c r="B40" s="69" t="s">
        <v>100</v>
      </c>
      <c r="C40" s="69" t="s">
        <v>40</v>
      </c>
      <c r="D40" s="70">
        <v>32085.040000000001</v>
      </c>
      <c r="E40" s="70">
        <v>32085.040000000001</v>
      </c>
      <c r="F40" s="71">
        <v>1</v>
      </c>
      <c r="G40" s="70">
        <v>32085.040000000001</v>
      </c>
      <c r="H40" s="71">
        <v>1</v>
      </c>
      <c r="I40" s="70">
        <v>32085.040000000001</v>
      </c>
      <c r="J40" s="71">
        <v>1</v>
      </c>
      <c r="K40" s="72"/>
      <c r="L40" s="72"/>
    </row>
    <row r="41" spans="1:12" x14ac:dyDescent="0.25">
      <c r="A41" s="69" t="s">
        <v>42</v>
      </c>
      <c r="B41" s="69" t="s">
        <v>44</v>
      </c>
      <c r="C41" s="69" t="s">
        <v>41</v>
      </c>
      <c r="D41" s="70">
        <v>52880.41</v>
      </c>
      <c r="E41" s="70">
        <v>52880.41</v>
      </c>
      <c r="F41" s="71">
        <v>1</v>
      </c>
      <c r="G41" s="70">
        <v>52880.41</v>
      </c>
      <c r="H41" s="71">
        <v>1</v>
      </c>
      <c r="I41" s="70">
        <v>52880.41</v>
      </c>
      <c r="J41" s="71">
        <v>1</v>
      </c>
      <c r="K41" s="70">
        <v>0</v>
      </c>
      <c r="L41" s="71">
        <v>0</v>
      </c>
    </row>
    <row r="42" spans="1:12" x14ac:dyDescent="0.25">
      <c r="A42" s="69" t="s">
        <v>42</v>
      </c>
      <c r="B42" s="69" t="s">
        <v>45</v>
      </c>
      <c r="C42" s="69" t="s">
        <v>46</v>
      </c>
      <c r="D42" s="70">
        <v>45121.45</v>
      </c>
      <c r="E42" s="70">
        <v>45121.45</v>
      </c>
      <c r="F42" s="71">
        <v>1</v>
      </c>
      <c r="G42" s="70">
        <v>45121.45</v>
      </c>
      <c r="H42" s="71">
        <v>1</v>
      </c>
      <c r="I42" s="70">
        <v>45121.45</v>
      </c>
      <c r="J42" s="71">
        <v>1</v>
      </c>
      <c r="K42" s="70">
        <v>45121.45</v>
      </c>
      <c r="L42" s="71">
        <v>1</v>
      </c>
    </row>
    <row r="43" spans="1:12" x14ac:dyDescent="0.25">
      <c r="A43" s="69" t="s">
        <v>42</v>
      </c>
      <c r="B43" s="69" t="s">
        <v>92</v>
      </c>
      <c r="C43" s="69" t="s">
        <v>30</v>
      </c>
      <c r="D43" s="70">
        <v>23254.952350000007</v>
      </c>
      <c r="E43" s="70">
        <v>23254.952350000007</v>
      </c>
      <c r="F43" s="71">
        <v>1</v>
      </c>
      <c r="G43" s="70">
        <v>23254.952350000007</v>
      </c>
      <c r="H43" s="71">
        <v>1</v>
      </c>
      <c r="I43" s="70">
        <v>23254.952350000007</v>
      </c>
      <c r="J43" s="71">
        <v>1</v>
      </c>
      <c r="K43" s="70">
        <v>0</v>
      </c>
      <c r="L43" s="71">
        <v>0</v>
      </c>
    </row>
    <row r="44" spans="1:12" x14ac:dyDescent="0.25">
      <c r="A44" s="69" t="s">
        <v>128</v>
      </c>
      <c r="B44" s="69" t="s">
        <v>128</v>
      </c>
      <c r="C44" s="69" t="s">
        <v>30</v>
      </c>
      <c r="D44" s="70">
        <v>733.58</v>
      </c>
      <c r="E44" s="70">
        <v>733.58</v>
      </c>
      <c r="F44" s="71">
        <v>1</v>
      </c>
      <c r="G44" s="70">
        <v>0</v>
      </c>
      <c r="H44" s="71">
        <v>0</v>
      </c>
      <c r="I44" s="70">
        <v>0</v>
      </c>
      <c r="J44" s="71">
        <v>0</v>
      </c>
      <c r="K44" s="72"/>
      <c r="L44" s="72"/>
    </row>
    <row r="45" spans="1:12" x14ac:dyDescent="0.25">
      <c r="A45" s="69" t="s">
        <v>47</v>
      </c>
      <c r="B45" s="69" t="s">
        <v>47</v>
      </c>
      <c r="C45" s="69" t="s">
        <v>30</v>
      </c>
      <c r="D45" s="70">
        <v>231366.76</v>
      </c>
      <c r="E45" s="70">
        <v>231366.76</v>
      </c>
      <c r="F45" s="71">
        <v>1</v>
      </c>
      <c r="G45" s="70">
        <v>231366.76</v>
      </c>
      <c r="H45" s="71">
        <v>1</v>
      </c>
      <c r="I45" s="70">
        <v>231366.76</v>
      </c>
      <c r="J45" s="71">
        <v>1</v>
      </c>
      <c r="K45" s="70">
        <v>197529.26080194977</v>
      </c>
      <c r="L45" s="71">
        <v>0.85374952219562461</v>
      </c>
    </row>
    <row r="46" spans="1:12" x14ac:dyDescent="0.25">
      <c r="A46" s="69" t="s">
        <v>51</v>
      </c>
      <c r="B46" s="69" t="s">
        <v>73</v>
      </c>
      <c r="C46" s="69" t="s">
        <v>30</v>
      </c>
      <c r="D46" s="70">
        <v>37063.279999999999</v>
      </c>
      <c r="E46" s="70">
        <v>37063.279999999999</v>
      </c>
      <c r="F46" s="71">
        <v>1</v>
      </c>
      <c r="G46" s="70">
        <v>37063.279999999999</v>
      </c>
      <c r="H46" s="71">
        <v>1</v>
      </c>
      <c r="I46" s="70">
        <v>32430.37</v>
      </c>
      <c r="J46" s="71">
        <v>0.875</v>
      </c>
      <c r="K46" s="70">
        <v>0</v>
      </c>
      <c r="L46" s="71">
        <v>0</v>
      </c>
    </row>
    <row r="47" spans="1:12" x14ac:dyDescent="0.25">
      <c r="A47" s="69" t="s">
        <v>51</v>
      </c>
      <c r="B47" s="69" t="s">
        <v>73</v>
      </c>
      <c r="C47" s="69" t="s">
        <v>46</v>
      </c>
      <c r="D47" s="70">
        <v>37063.279999999999</v>
      </c>
      <c r="E47" s="70">
        <v>28826.995555555553</v>
      </c>
      <c r="F47" s="71">
        <v>0.77777777777777779</v>
      </c>
      <c r="G47" s="70">
        <v>28826.995555555553</v>
      </c>
      <c r="H47" s="71">
        <v>0.77777777777777779</v>
      </c>
      <c r="I47" s="70">
        <v>26767.924444444445</v>
      </c>
      <c r="J47" s="71">
        <v>0.72222222222222221</v>
      </c>
      <c r="K47" s="70">
        <v>0</v>
      </c>
      <c r="L47" s="71">
        <v>0</v>
      </c>
    </row>
    <row r="48" spans="1:12" x14ac:dyDescent="0.25">
      <c r="A48" s="69" t="s">
        <v>51</v>
      </c>
      <c r="B48" s="69" t="s">
        <v>73</v>
      </c>
      <c r="C48" s="69" t="s">
        <v>74</v>
      </c>
      <c r="D48" s="70">
        <v>37063.279999999999</v>
      </c>
      <c r="E48" s="70">
        <v>37063.279999999999</v>
      </c>
      <c r="F48" s="71">
        <v>1</v>
      </c>
      <c r="G48" s="70">
        <v>37063.279999999999</v>
      </c>
      <c r="H48" s="71">
        <v>1</v>
      </c>
      <c r="I48" s="70">
        <v>0</v>
      </c>
      <c r="J48" s="71">
        <v>0</v>
      </c>
      <c r="K48" s="70">
        <v>0</v>
      </c>
      <c r="L48" s="71">
        <v>0</v>
      </c>
    </row>
    <row r="49" spans="1:12" x14ac:dyDescent="0.25">
      <c r="A49" s="69" t="s">
        <v>51</v>
      </c>
      <c r="B49" s="69" t="s">
        <v>72</v>
      </c>
      <c r="C49" s="69" t="s">
        <v>46</v>
      </c>
      <c r="D49" s="70">
        <v>112594.34</v>
      </c>
      <c r="E49" s="70">
        <v>112594.34</v>
      </c>
      <c r="F49" s="71">
        <v>1</v>
      </c>
      <c r="G49" s="70">
        <v>112594.34</v>
      </c>
      <c r="H49" s="71">
        <v>1</v>
      </c>
      <c r="I49" s="70">
        <v>112594.34</v>
      </c>
      <c r="J49" s="71">
        <v>1</v>
      </c>
      <c r="K49" s="70">
        <v>0</v>
      </c>
      <c r="L49" s="71">
        <v>0</v>
      </c>
    </row>
    <row r="50" spans="1:12" x14ac:dyDescent="0.25">
      <c r="A50" s="69" t="s">
        <v>51</v>
      </c>
      <c r="B50" s="69" t="s">
        <v>69</v>
      </c>
      <c r="C50" s="69" t="s">
        <v>70</v>
      </c>
      <c r="D50" s="70">
        <v>103605.23999999983</v>
      </c>
      <c r="E50" s="70">
        <v>103605.23999999983</v>
      </c>
      <c r="F50" s="71">
        <v>1</v>
      </c>
      <c r="G50" s="70">
        <v>103605.23999999983</v>
      </c>
      <c r="H50" s="71">
        <v>1</v>
      </c>
      <c r="I50" s="70">
        <v>103605.23999999983</v>
      </c>
      <c r="J50" s="71">
        <v>1</v>
      </c>
      <c r="K50" s="70">
        <v>0</v>
      </c>
      <c r="L50" s="71">
        <v>0</v>
      </c>
    </row>
    <row r="51" spans="1:12" x14ac:dyDescent="0.25">
      <c r="A51" s="69" t="s">
        <v>51</v>
      </c>
      <c r="B51" s="69" t="s">
        <v>68</v>
      </c>
      <c r="C51" s="69" t="s">
        <v>30</v>
      </c>
      <c r="D51" s="70">
        <v>91700.06</v>
      </c>
      <c r="E51" s="70">
        <v>91700.06</v>
      </c>
      <c r="F51" s="71">
        <v>1</v>
      </c>
      <c r="G51" s="70">
        <v>91700.06</v>
      </c>
      <c r="H51" s="71">
        <v>1</v>
      </c>
      <c r="I51" s="70">
        <v>91700.06</v>
      </c>
      <c r="J51" s="71">
        <v>1</v>
      </c>
      <c r="K51" s="70">
        <v>9324.4140034894335</v>
      </c>
      <c r="L51" s="71">
        <v>0.10168383754044909</v>
      </c>
    </row>
    <row r="52" spans="1:12" x14ac:dyDescent="0.25">
      <c r="A52" s="69" t="s">
        <v>51</v>
      </c>
      <c r="B52" s="69" t="s">
        <v>68</v>
      </c>
      <c r="C52" s="69" t="s">
        <v>61</v>
      </c>
      <c r="D52" s="70">
        <v>3911.9090000000001</v>
      </c>
      <c r="E52" s="70">
        <v>3911.9090000000001</v>
      </c>
      <c r="F52" s="71">
        <v>1</v>
      </c>
      <c r="G52" s="70">
        <v>3911.9090000000001</v>
      </c>
      <c r="H52" s="71">
        <v>1</v>
      </c>
      <c r="I52" s="70">
        <v>3911.9090000000001</v>
      </c>
      <c r="J52" s="71">
        <v>1</v>
      </c>
      <c r="K52" s="70">
        <v>348.38469903147336</v>
      </c>
      <c r="L52" s="71">
        <v>8.9057465046214868E-2</v>
      </c>
    </row>
    <row r="53" spans="1:12" x14ac:dyDescent="0.25">
      <c r="A53" s="69" t="s">
        <v>51</v>
      </c>
      <c r="B53" s="69" t="s">
        <v>68</v>
      </c>
      <c r="C53" s="69" t="s">
        <v>46</v>
      </c>
      <c r="D53" s="70">
        <v>313.09100000000001</v>
      </c>
      <c r="E53" s="70">
        <v>313.09100000000001</v>
      </c>
      <c r="F53" s="71">
        <v>1</v>
      </c>
      <c r="G53" s="70">
        <v>313.09100000000001</v>
      </c>
      <c r="H53" s="71">
        <v>1</v>
      </c>
      <c r="I53" s="70">
        <v>313.09100000000001</v>
      </c>
      <c r="J53" s="71">
        <v>1</v>
      </c>
      <c r="K53" s="70">
        <v>313.09082429299076</v>
      </c>
      <c r="L53" s="71">
        <v>0.99999943879891395</v>
      </c>
    </row>
    <row r="54" spans="1:12" x14ac:dyDescent="0.25">
      <c r="A54" s="69" t="s">
        <v>51</v>
      </c>
      <c r="B54" s="69" t="s">
        <v>60</v>
      </c>
      <c r="C54" s="69" t="s">
        <v>30</v>
      </c>
      <c r="D54" s="70">
        <v>90800.14</v>
      </c>
      <c r="E54" s="70">
        <v>90800.14</v>
      </c>
      <c r="F54" s="71">
        <v>1</v>
      </c>
      <c r="G54" s="70">
        <v>90800.14</v>
      </c>
      <c r="H54" s="71">
        <v>1</v>
      </c>
      <c r="I54" s="70">
        <v>90800.14</v>
      </c>
      <c r="J54" s="71">
        <v>1</v>
      </c>
      <c r="K54" s="70">
        <v>10153.047824795449</v>
      </c>
      <c r="L54" s="71">
        <v>0.11181753491564494</v>
      </c>
    </row>
    <row r="55" spans="1:12" x14ac:dyDescent="0.25">
      <c r="A55" s="69" t="s">
        <v>51</v>
      </c>
      <c r="B55" s="69" t="s">
        <v>60</v>
      </c>
      <c r="C55" s="69" t="s">
        <v>61</v>
      </c>
      <c r="D55" s="70">
        <v>3099.45</v>
      </c>
      <c r="E55" s="70">
        <v>3099.45</v>
      </c>
      <c r="F55" s="71">
        <v>1</v>
      </c>
      <c r="G55" s="70">
        <v>3099.45</v>
      </c>
      <c r="H55" s="71">
        <v>1</v>
      </c>
      <c r="I55" s="70">
        <v>3099.45</v>
      </c>
      <c r="J55" s="71">
        <v>1</v>
      </c>
      <c r="K55" s="70">
        <v>316.12053666945536</v>
      </c>
      <c r="L55" s="71">
        <v>0.10199246210439122</v>
      </c>
    </row>
    <row r="56" spans="1:12" x14ac:dyDescent="0.25">
      <c r="A56" s="69" t="s">
        <v>51</v>
      </c>
      <c r="B56" s="69" t="s">
        <v>60</v>
      </c>
      <c r="C56" s="69" t="s">
        <v>46</v>
      </c>
      <c r="D56" s="70">
        <v>1909.55</v>
      </c>
      <c r="E56" s="70">
        <v>1909.55</v>
      </c>
      <c r="F56" s="71">
        <v>1</v>
      </c>
      <c r="G56" s="70">
        <v>1909.55</v>
      </c>
      <c r="H56" s="71">
        <v>1</v>
      </c>
      <c r="I56" s="70">
        <v>1909.55</v>
      </c>
      <c r="J56" s="71">
        <v>1</v>
      </c>
      <c r="K56" s="70">
        <v>1909.55</v>
      </c>
      <c r="L56" s="71">
        <v>1</v>
      </c>
    </row>
    <row r="57" spans="1:12" x14ac:dyDescent="0.25">
      <c r="A57" s="69" t="s">
        <v>51</v>
      </c>
      <c r="B57" s="69" t="s">
        <v>57</v>
      </c>
      <c r="C57" s="69" t="s">
        <v>30</v>
      </c>
      <c r="D57" s="70">
        <v>95330.38</v>
      </c>
      <c r="E57" s="70">
        <v>95330.38</v>
      </c>
      <c r="F57" s="71">
        <v>1</v>
      </c>
      <c r="G57" s="70">
        <v>95330.38</v>
      </c>
      <c r="H57" s="71">
        <v>1</v>
      </c>
      <c r="I57" s="70">
        <v>95330.38</v>
      </c>
      <c r="J57" s="71">
        <v>1</v>
      </c>
      <c r="K57" s="70">
        <v>10725.196913819915</v>
      </c>
      <c r="L57" s="71">
        <v>0.11250555084139929</v>
      </c>
    </row>
    <row r="58" spans="1:12" x14ac:dyDescent="0.25">
      <c r="A58" s="69" t="s">
        <v>51</v>
      </c>
      <c r="B58" s="69" t="s">
        <v>55</v>
      </c>
      <c r="C58" s="69" t="s">
        <v>30</v>
      </c>
      <c r="D58" s="70">
        <v>120097.08</v>
      </c>
      <c r="E58" s="70">
        <v>120097.08</v>
      </c>
      <c r="F58" s="71">
        <v>1</v>
      </c>
      <c r="G58" s="70">
        <v>120097.08</v>
      </c>
      <c r="H58" s="71">
        <v>1</v>
      </c>
      <c r="I58" s="70">
        <v>120097.08</v>
      </c>
      <c r="J58" s="71">
        <v>1</v>
      </c>
      <c r="K58" s="70">
        <v>0</v>
      </c>
      <c r="L58" s="71">
        <v>0</v>
      </c>
    </row>
    <row r="59" spans="1:12" x14ac:dyDescent="0.25">
      <c r="A59" s="69" t="s">
        <v>51</v>
      </c>
      <c r="B59" s="69" t="s">
        <v>55</v>
      </c>
      <c r="C59" s="69" t="s">
        <v>56</v>
      </c>
      <c r="D59" s="70">
        <v>377.43</v>
      </c>
      <c r="E59" s="70">
        <v>377.43</v>
      </c>
      <c r="F59" s="71">
        <v>1</v>
      </c>
      <c r="G59" s="70">
        <v>377.43</v>
      </c>
      <c r="H59" s="71">
        <v>1</v>
      </c>
      <c r="I59" s="70">
        <v>377.43</v>
      </c>
      <c r="J59" s="71">
        <v>1</v>
      </c>
      <c r="K59" s="70">
        <v>0</v>
      </c>
      <c r="L59" s="71">
        <v>0</v>
      </c>
    </row>
    <row r="60" spans="1:12" x14ac:dyDescent="0.25">
      <c r="A60" s="69" t="s">
        <v>51</v>
      </c>
      <c r="B60" s="69" t="s">
        <v>55</v>
      </c>
      <c r="C60" s="69" t="s">
        <v>46</v>
      </c>
      <c r="D60" s="70">
        <v>14276.64</v>
      </c>
      <c r="E60" s="70">
        <v>14276.64</v>
      </c>
      <c r="F60" s="71">
        <v>1</v>
      </c>
      <c r="G60" s="70">
        <v>14276.64</v>
      </c>
      <c r="H60" s="71">
        <v>1</v>
      </c>
      <c r="I60" s="70">
        <v>14276.64</v>
      </c>
      <c r="J60" s="71">
        <v>1</v>
      </c>
      <c r="K60" s="70">
        <v>0</v>
      </c>
      <c r="L60" s="71">
        <v>0</v>
      </c>
    </row>
    <row r="61" spans="1:12" x14ac:dyDescent="0.25">
      <c r="A61" s="69" t="s">
        <v>51</v>
      </c>
      <c r="B61" s="69" t="s">
        <v>52</v>
      </c>
      <c r="C61" s="69" t="s">
        <v>30</v>
      </c>
      <c r="D61" s="70">
        <v>68960.590000000026</v>
      </c>
      <c r="E61" s="70">
        <v>68960.590000000026</v>
      </c>
      <c r="F61" s="71">
        <v>1</v>
      </c>
      <c r="G61" s="70">
        <v>68960.590000000026</v>
      </c>
      <c r="H61" s="71">
        <v>1</v>
      </c>
      <c r="I61" s="70">
        <v>68960.590000000026</v>
      </c>
      <c r="J61" s="71">
        <v>1</v>
      </c>
      <c r="K61" s="70">
        <v>10984.872743362903</v>
      </c>
      <c r="L61" s="71">
        <v>0.15929203539823106</v>
      </c>
    </row>
    <row r="62" spans="1:12" ht="30" x14ac:dyDescent="0.25">
      <c r="A62" s="71" t="s">
        <v>114</v>
      </c>
      <c r="B62" s="71" t="s">
        <v>114</v>
      </c>
      <c r="C62" s="71" t="s">
        <v>114</v>
      </c>
      <c r="D62" s="71" t="s">
        <v>143</v>
      </c>
      <c r="E62" s="71" t="s">
        <v>144</v>
      </c>
      <c r="F62" s="71" t="s">
        <v>114</v>
      </c>
      <c r="G62" s="71" t="s">
        <v>145</v>
      </c>
      <c r="H62" s="71" t="s">
        <v>114</v>
      </c>
      <c r="I62" s="71" t="s">
        <v>146</v>
      </c>
      <c r="J62" s="71" t="s">
        <v>114</v>
      </c>
      <c r="K62" s="71" t="s">
        <v>115</v>
      </c>
      <c r="L62" s="71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62"/>
  <sheetViews>
    <sheetView topLeftCell="A32" workbookViewId="0">
      <selection activeCell="A2" sqref="A2:L61"/>
    </sheetView>
  </sheetViews>
  <sheetFormatPr defaultRowHeight="15" x14ac:dyDescent="0.25"/>
  <sheetData>
    <row r="1" spans="1:12" x14ac:dyDescent="0.25">
      <c r="A1" s="63" t="s">
        <v>102</v>
      </c>
      <c r="B1" s="63" t="s">
        <v>103</v>
      </c>
      <c r="C1" s="63" t="s">
        <v>104</v>
      </c>
      <c r="D1" s="63" t="s">
        <v>105</v>
      </c>
      <c r="E1" s="63" t="s">
        <v>106</v>
      </c>
      <c r="F1" s="63" t="s">
        <v>107</v>
      </c>
      <c r="G1" s="63" t="s">
        <v>108</v>
      </c>
      <c r="H1" s="63" t="s">
        <v>109</v>
      </c>
      <c r="I1" s="63" t="s">
        <v>110</v>
      </c>
      <c r="J1" s="63" t="s">
        <v>111</v>
      </c>
      <c r="K1" s="63" t="s">
        <v>112</v>
      </c>
      <c r="L1" s="63" t="s">
        <v>113</v>
      </c>
    </row>
    <row r="2" spans="1:12" x14ac:dyDescent="0.25">
      <c r="A2" s="64" t="s">
        <v>54</v>
      </c>
      <c r="B2" s="64" t="s">
        <v>82</v>
      </c>
      <c r="C2" s="64" t="s">
        <v>83</v>
      </c>
      <c r="D2" s="65">
        <v>61696.523999999998</v>
      </c>
      <c r="E2" s="65">
        <v>61696.523999999998</v>
      </c>
      <c r="F2" s="66">
        <v>1</v>
      </c>
      <c r="G2" s="65">
        <v>61696.523999999998</v>
      </c>
      <c r="H2" s="66">
        <v>1</v>
      </c>
      <c r="I2" s="65">
        <v>61696.523999999998</v>
      </c>
      <c r="J2" s="66">
        <v>1</v>
      </c>
      <c r="K2" s="65">
        <v>0</v>
      </c>
      <c r="L2" s="66">
        <v>0</v>
      </c>
    </row>
    <row r="3" spans="1:12" x14ac:dyDescent="0.25">
      <c r="A3" s="64" t="s">
        <v>54</v>
      </c>
      <c r="B3" s="64" t="s">
        <v>84</v>
      </c>
      <c r="C3" s="64" t="s">
        <v>83</v>
      </c>
      <c r="D3" s="65">
        <v>61512.597399999991</v>
      </c>
      <c r="E3" s="65">
        <v>61512.597399999991</v>
      </c>
      <c r="F3" s="66">
        <v>1</v>
      </c>
      <c r="G3" s="65">
        <v>0</v>
      </c>
      <c r="H3" s="66">
        <v>0</v>
      </c>
      <c r="I3" s="65">
        <v>0</v>
      </c>
      <c r="J3" s="66">
        <v>0</v>
      </c>
      <c r="K3" s="65">
        <v>0</v>
      </c>
      <c r="L3" s="66">
        <v>0</v>
      </c>
    </row>
    <row r="4" spans="1:12" x14ac:dyDescent="0.25">
      <c r="A4" s="64" t="s">
        <v>54</v>
      </c>
      <c r="B4" s="64" t="s">
        <v>94</v>
      </c>
      <c r="C4" s="64" t="s">
        <v>101</v>
      </c>
      <c r="D4" s="65">
        <v>116529.74</v>
      </c>
      <c r="E4" s="65">
        <v>58264.87</v>
      </c>
      <c r="F4" s="66">
        <v>0.5</v>
      </c>
      <c r="G4" s="65">
        <v>34958.921999999999</v>
      </c>
      <c r="H4" s="66">
        <v>0.3</v>
      </c>
      <c r="I4" s="65">
        <v>23305.948000000004</v>
      </c>
      <c r="J4" s="66">
        <v>0.2</v>
      </c>
      <c r="K4" s="65">
        <v>0</v>
      </c>
      <c r="L4" s="66">
        <v>0</v>
      </c>
    </row>
    <row r="5" spans="1:12" x14ac:dyDescent="0.25">
      <c r="A5" s="64" t="s">
        <v>54</v>
      </c>
      <c r="B5" s="64" t="s">
        <v>78</v>
      </c>
      <c r="C5" s="64" t="s">
        <v>59</v>
      </c>
      <c r="D5" s="65">
        <v>3632.6453241000008</v>
      </c>
      <c r="E5" s="65">
        <v>3632.6453241000008</v>
      </c>
      <c r="F5" s="66">
        <v>1</v>
      </c>
      <c r="G5" s="65">
        <v>3632.6453241000008</v>
      </c>
      <c r="H5" s="66">
        <v>1</v>
      </c>
      <c r="I5" s="65">
        <v>3632.6453241000008</v>
      </c>
      <c r="J5" s="66">
        <v>1</v>
      </c>
      <c r="K5" s="65">
        <v>82.560121002272751</v>
      </c>
      <c r="L5" s="66">
        <v>2.2727272727272728E-2</v>
      </c>
    </row>
    <row r="6" spans="1:12" ht="30" x14ac:dyDescent="0.25">
      <c r="A6" s="64" t="s">
        <v>54</v>
      </c>
      <c r="B6" s="64" t="s">
        <v>79</v>
      </c>
      <c r="C6" s="64" t="s">
        <v>59</v>
      </c>
      <c r="D6" s="65">
        <v>66526.931673225015</v>
      </c>
      <c r="E6" s="65">
        <v>66526.931673225015</v>
      </c>
      <c r="F6" s="66">
        <v>1</v>
      </c>
      <c r="G6" s="65">
        <v>66526.931673225015</v>
      </c>
      <c r="H6" s="66">
        <v>1</v>
      </c>
      <c r="I6" s="65">
        <v>66526.931673225015</v>
      </c>
      <c r="J6" s="66">
        <v>1</v>
      </c>
      <c r="K6" s="65">
        <v>0</v>
      </c>
      <c r="L6" s="66">
        <v>0</v>
      </c>
    </row>
    <row r="7" spans="1:12" ht="30" x14ac:dyDescent="0.25">
      <c r="A7" s="64" t="s">
        <v>54</v>
      </c>
      <c r="B7" s="64" t="s">
        <v>80</v>
      </c>
      <c r="C7" s="64" t="s">
        <v>59</v>
      </c>
      <c r="D7" s="65">
        <v>27322.570000000014</v>
      </c>
      <c r="E7" s="65">
        <v>27322.570000000014</v>
      </c>
      <c r="F7" s="66">
        <v>1</v>
      </c>
      <c r="G7" s="65">
        <v>27322.570000000014</v>
      </c>
      <c r="H7" s="66">
        <v>1</v>
      </c>
      <c r="I7" s="65">
        <v>27322.570000000014</v>
      </c>
      <c r="J7" s="66">
        <v>1</v>
      </c>
      <c r="K7" s="65">
        <v>0</v>
      </c>
      <c r="L7" s="66">
        <v>0</v>
      </c>
    </row>
    <row r="8" spans="1:12" ht="30" x14ac:dyDescent="0.25">
      <c r="A8" s="64" t="s">
        <v>54</v>
      </c>
      <c r="B8" s="64" t="s">
        <v>89</v>
      </c>
      <c r="C8" s="64" t="s">
        <v>59</v>
      </c>
      <c r="D8" s="65">
        <v>7738.9</v>
      </c>
      <c r="E8" s="67"/>
      <c r="F8" s="67"/>
      <c r="G8" s="67"/>
      <c r="H8" s="67"/>
      <c r="I8" s="67"/>
      <c r="J8" s="67"/>
      <c r="K8" s="65">
        <v>0</v>
      </c>
      <c r="L8" s="66">
        <v>0</v>
      </c>
    </row>
    <row r="9" spans="1:12" ht="30" x14ac:dyDescent="0.25">
      <c r="A9" s="64" t="s">
        <v>54</v>
      </c>
      <c r="B9" s="64" t="s">
        <v>90</v>
      </c>
      <c r="C9" s="64" t="s">
        <v>59</v>
      </c>
      <c r="D9" s="65">
        <v>12606.7</v>
      </c>
      <c r="E9" s="65">
        <v>12606.7</v>
      </c>
      <c r="F9" s="66">
        <v>1</v>
      </c>
      <c r="G9" s="65">
        <v>12606.7</v>
      </c>
      <c r="H9" s="66">
        <v>1</v>
      </c>
      <c r="I9" s="65">
        <v>12606.7</v>
      </c>
      <c r="J9" s="66">
        <v>1</v>
      </c>
      <c r="K9" s="65">
        <v>0</v>
      </c>
      <c r="L9" s="66">
        <v>0</v>
      </c>
    </row>
    <row r="10" spans="1:12" ht="30" x14ac:dyDescent="0.25">
      <c r="A10" s="64" t="s">
        <v>54</v>
      </c>
      <c r="B10" s="64" t="s">
        <v>87</v>
      </c>
      <c r="C10" s="64" t="s">
        <v>59</v>
      </c>
      <c r="D10" s="65">
        <v>11821.4</v>
      </c>
      <c r="E10" s="65">
        <v>11821.4</v>
      </c>
      <c r="F10" s="66">
        <v>1</v>
      </c>
      <c r="G10" s="65">
        <v>11821.4</v>
      </c>
      <c r="H10" s="66">
        <v>1</v>
      </c>
      <c r="I10" s="65">
        <v>11821.4</v>
      </c>
      <c r="J10" s="66">
        <v>1</v>
      </c>
      <c r="K10" s="65">
        <v>216.72407407407408</v>
      </c>
      <c r="L10" s="66">
        <v>1.833319861218418E-2</v>
      </c>
    </row>
    <row r="11" spans="1:12" ht="30" x14ac:dyDescent="0.25">
      <c r="A11" s="64" t="s">
        <v>54</v>
      </c>
      <c r="B11" s="64" t="s">
        <v>93</v>
      </c>
      <c r="C11" s="64" t="s">
        <v>59</v>
      </c>
      <c r="D11" s="65">
        <v>13649.20000000001</v>
      </c>
      <c r="E11" s="65">
        <v>13649.20000000001</v>
      </c>
      <c r="F11" s="66">
        <v>1</v>
      </c>
      <c r="G11" s="65">
        <v>13649.20000000001</v>
      </c>
      <c r="H11" s="66">
        <v>1</v>
      </c>
      <c r="I11" s="65">
        <v>13649.20000000001</v>
      </c>
      <c r="J11" s="66">
        <v>1</v>
      </c>
      <c r="K11" s="65">
        <v>0</v>
      </c>
      <c r="L11" s="66">
        <v>0</v>
      </c>
    </row>
    <row r="12" spans="1:12" ht="30" x14ac:dyDescent="0.25">
      <c r="A12" s="64" t="s">
        <v>54</v>
      </c>
      <c r="B12" s="64" t="s">
        <v>58</v>
      </c>
      <c r="C12" s="64" t="s">
        <v>59</v>
      </c>
      <c r="D12" s="65">
        <v>18015.7</v>
      </c>
      <c r="E12" s="65">
        <v>18015.7</v>
      </c>
      <c r="F12" s="66">
        <v>1</v>
      </c>
      <c r="G12" s="65">
        <v>18015.7</v>
      </c>
      <c r="H12" s="66">
        <v>1</v>
      </c>
      <c r="I12" s="65">
        <v>18015.7</v>
      </c>
      <c r="J12" s="66">
        <v>1</v>
      </c>
      <c r="K12" s="65">
        <v>4230.9227077085816</v>
      </c>
      <c r="L12" s="66">
        <v>0.23484642327017999</v>
      </c>
    </row>
    <row r="13" spans="1:12" ht="30" x14ac:dyDescent="0.25">
      <c r="A13" s="64" t="s">
        <v>54</v>
      </c>
      <c r="B13" s="64" t="s">
        <v>77</v>
      </c>
      <c r="C13" s="64" t="s">
        <v>59</v>
      </c>
      <c r="D13" s="65">
        <v>14499.95</v>
      </c>
      <c r="E13" s="65">
        <v>14499.95</v>
      </c>
      <c r="F13" s="66">
        <v>1</v>
      </c>
      <c r="G13" s="65">
        <v>14499.95</v>
      </c>
      <c r="H13" s="66">
        <v>1</v>
      </c>
      <c r="I13" s="65">
        <v>14499.95</v>
      </c>
      <c r="J13" s="66">
        <v>1</v>
      </c>
      <c r="K13" s="65">
        <v>4423.4099160559299</v>
      </c>
      <c r="L13" s="66">
        <v>0.3050638047755978</v>
      </c>
    </row>
    <row r="14" spans="1:12" x14ac:dyDescent="0.25">
      <c r="A14" s="64" t="s">
        <v>54</v>
      </c>
      <c r="B14" s="64" t="s">
        <v>62</v>
      </c>
      <c r="C14" s="64" t="s">
        <v>63</v>
      </c>
      <c r="D14" s="65">
        <v>103272.7</v>
      </c>
      <c r="E14" s="65">
        <v>84495.845454545459</v>
      </c>
      <c r="F14" s="66">
        <v>0.81818181818181823</v>
      </c>
      <c r="G14" s="65">
        <v>75107.418181818182</v>
      </c>
      <c r="H14" s="66">
        <v>0.72727272727272729</v>
      </c>
      <c r="I14" s="65">
        <v>56330.563636363629</v>
      </c>
      <c r="J14" s="66">
        <v>0.54545454545454541</v>
      </c>
      <c r="K14" s="65">
        <v>0</v>
      </c>
      <c r="L14" s="66">
        <v>0</v>
      </c>
    </row>
    <row r="15" spans="1:12" x14ac:dyDescent="0.25">
      <c r="A15" s="64" t="s">
        <v>54</v>
      </c>
      <c r="B15" s="64" t="s">
        <v>64</v>
      </c>
      <c r="C15" s="64" t="s">
        <v>65</v>
      </c>
      <c r="D15" s="65">
        <v>21757.69</v>
      </c>
      <c r="E15" s="65">
        <v>10878.844999999999</v>
      </c>
      <c r="F15" s="66">
        <v>0.5</v>
      </c>
      <c r="G15" s="65">
        <v>0</v>
      </c>
      <c r="H15" s="66">
        <v>0</v>
      </c>
      <c r="I15" s="65">
        <v>0</v>
      </c>
      <c r="J15" s="66">
        <v>0</v>
      </c>
      <c r="K15" s="65">
        <v>2607.4421395327126</v>
      </c>
      <c r="L15" s="66">
        <v>0.11984002619454145</v>
      </c>
    </row>
    <row r="16" spans="1:12" x14ac:dyDescent="0.25">
      <c r="A16" s="64" t="s">
        <v>54</v>
      </c>
      <c r="B16" s="64" t="s">
        <v>64</v>
      </c>
      <c r="C16" s="64" t="s">
        <v>66</v>
      </c>
      <c r="D16" s="65">
        <v>21757.69</v>
      </c>
      <c r="E16" s="65">
        <v>21757.69</v>
      </c>
      <c r="F16" s="66">
        <v>1</v>
      </c>
      <c r="G16" s="65">
        <v>7252.5633333333326</v>
      </c>
      <c r="H16" s="66">
        <v>0.33333333333333331</v>
      </c>
      <c r="I16" s="65">
        <v>7252.5633333333326</v>
      </c>
      <c r="J16" s="66">
        <v>0.33333333333333331</v>
      </c>
      <c r="K16" s="65">
        <v>0</v>
      </c>
      <c r="L16" s="66">
        <v>0</v>
      </c>
    </row>
    <row r="17" spans="1:12" x14ac:dyDescent="0.25">
      <c r="A17" s="64" t="s">
        <v>54</v>
      </c>
      <c r="B17" s="64" t="s">
        <v>64</v>
      </c>
      <c r="C17" s="64" t="s">
        <v>63</v>
      </c>
      <c r="D17" s="65">
        <v>21757.69</v>
      </c>
      <c r="E17" s="65">
        <v>19581.920999999998</v>
      </c>
      <c r="F17" s="66">
        <v>0.9</v>
      </c>
      <c r="G17" s="65">
        <v>19581.920999999998</v>
      </c>
      <c r="H17" s="66">
        <v>0.9</v>
      </c>
      <c r="I17" s="65">
        <v>19581.920999999998</v>
      </c>
      <c r="J17" s="66">
        <v>0.9</v>
      </c>
      <c r="K17" s="65">
        <v>0</v>
      </c>
      <c r="L17" s="66">
        <v>0</v>
      </c>
    </row>
    <row r="18" spans="1:12" x14ac:dyDescent="0.25">
      <c r="A18" s="64" t="s">
        <v>54</v>
      </c>
      <c r="B18" s="64" t="s">
        <v>64</v>
      </c>
      <c r="C18" s="64" t="s">
        <v>67</v>
      </c>
      <c r="D18" s="65">
        <v>21757.69</v>
      </c>
      <c r="E18" s="65">
        <v>19779.718181818182</v>
      </c>
      <c r="F18" s="66">
        <v>0.90909090909090906</v>
      </c>
      <c r="G18" s="65">
        <v>11867.830909090908</v>
      </c>
      <c r="H18" s="66">
        <v>0.54545454545454541</v>
      </c>
      <c r="I18" s="65">
        <v>5933.9154545454539</v>
      </c>
      <c r="J18" s="66">
        <v>0.27272727272727271</v>
      </c>
      <c r="K18" s="65">
        <v>0</v>
      </c>
      <c r="L18" s="66">
        <v>0</v>
      </c>
    </row>
    <row r="19" spans="1:12" x14ac:dyDescent="0.25">
      <c r="A19" s="64" t="s">
        <v>54</v>
      </c>
      <c r="B19" s="64" t="s">
        <v>71</v>
      </c>
      <c r="C19" s="64" t="s">
        <v>63</v>
      </c>
      <c r="D19" s="65">
        <v>82046.400000000009</v>
      </c>
      <c r="E19" s="65">
        <v>82046.400000000009</v>
      </c>
      <c r="F19" s="66">
        <v>1</v>
      </c>
      <c r="G19" s="65">
        <v>82046.400000000009</v>
      </c>
      <c r="H19" s="66">
        <v>1</v>
      </c>
      <c r="I19" s="65">
        <v>82046.400000000009</v>
      </c>
      <c r="J19" s="66">
        <v>1</v>
      </c>
      <c r="K19" s="65">
        <v>0</v>
      </c>
      <c r="L19" s="66">
        <v>0</v>
      </c>
    </row>
    <row r="20" spans="1:12" x14ac:dyDescent="0.25">
      <c r="A20" s="64" t="s">
        <v>54</v>
      </c>
      <c r="B20" s="64" t="s">
        <v>75</v>
      </c>
      <c r="C20" s="64" t="s">
        <v>76</v>
      </c>
      <c r="D20" s="65">
        <v>80497.16</v>
      </c>
      <c r="E20" s="65">
        <v>80497.16</v>
      </c>
      <c r="F20" s="66">
        <v>1</v>
      </c>
      <c r="G20" s="65">
        <v>80497.16</v>
      </c>
      <c r="H20" s="66">
        <v>1</v>
      </c>
      <c r="I20" s="65">
        <v>80497.16</v>
      </c>
      <c r="J20" s="66">
        <v>1</v>
      </c>
      <c r="K20" s="65">
        <v>0</v>
      </c>
      <c r="L20" s="66">
        <v>0</v>
      </c>
    </row>
    <row r="21" spans="1:12" x14ac:dyDescent="0.25">
      <c r="A21" s="64" t="s">
        <v>54</v>
      </c>
      <c r="B21" s="64" t="s">
        <v>81</v>
      </c>
      <c r="C21" s="64" t="s">
        <v>30</v>
      </c>
      <c r="D21" s="65">
        <v>89010.219999999987</v>
      </c>
      <c r="E21" s="65">
        <v>89010.219999999987</v>
      </c>
      <c r="F21" s="66">
        <v>1</v>
      </c>
      <c r="G21" s="65">
        <v>89010.219999999987</v>
      </c>
      <c r="H21" s="66">
        <v>1</v>
      </c>
      <c r="I21" s="65">
        <v>89010.219999999987</v>
      </c>
      <c r="J21" s="66">
        <v>1</v>
      </c>
      <c r="K21" s="65">
        <v>0</v>
      </c>
      <c r="L21" s="66">
        <v>0</v>
      </c>
    </row>
    <row r="22" spans="1:12" x14ac:dyDescent="0.25">
      <c r="A22" s="64" t="s">
        <v>54</v>
      </c>
      <c r="B22" s="64" t="s">
        <v>85</v>
      </c>
      <c r="C22" s="64" t="s">
        <v>30</v>
      </c>
      <c r="D22" s="65">
        <v>88239.10000000002</v>
      </c>
      <c r="E22" s="65">
        <v>88239.10000000002</v>
      </c>
      <c r="F22" s="66">
        <v>1</v>
      </c>
      <c r="G22" s="65">
        <v>88239.10000000002</v>
      </c>
      <c r="H22" s="66">
        <v>1</v>
      </c>
      <c r="I22" s="65">
        <v>88239.10000000002</v>
      </c>
      <c r="J22" s="66">
        <v>1</v>
      </c>
      <c r="K22" s="65">
        <v>0</v>
      </c>
      <c r="L22" s="66">
        <v>0</v>
      </c>
    </row>
    <row r="23" spans="1:12" x14ac:dyDescent="0.25">
      <c r="A23" s="64" t="s">
        <v>54</v>
      </c>
      <c r="B23" s="64" t="s">
        <v>86</v>
      </c>
      <c r="C23" s="64" t="s">
        <v>30</v>
      </c>
      <c r="D23" s="65">
        <v>61132.493900000001</v>
      </c>
      <c r="E23" s="65">
        <v>61132.493900000001</v>
      </c>
      <c r="F23" s="66">
        <v>1</v>
      </c>
      <c r="G23" s="65">
        <v>61132.493900000001</v>
      </c>
      <c r="H23" s="66">
        <v>1</v>
      </c>
      <c r="I23" s="65">
        <v>0</v>
      </c>
      <c r="J23" s="66">
        <v>0</v>
      </c>
      <c r="K23" s="65">
        <v>0</v>
      </c>
      <c r="L23" s="66">
        <v>0</v>
      </c>
    </row>
    <row r="24" spans="1:12" x14ac:dyDescent="0.25">
      <c r="A24" s="64" t="s">
        <v>54</v>
      </c>
      <c r="B24" s="64" t="s">
        <v>88</v>
      </c>
      <c r="C24" s="64" t="s">
        <v>63</v>
      </c>
      <c r="D24" s="65">
        <v>62868.84</v>
      </c>
      <c r="E24" s="65">
        <v>20432.373</v>
      </c>
      <c r="F24" s="66">
        <v>0.32500000000000001</v>
      </c>
      <c r="G24" s="65">
        <v>18860.651999999998</v>
      </c>
      <c r="H24" s="66">
        <v>0.3</v>
      </c>
      <c r="I24" s="65">
        <v>14145.489</v>
      </c>
      <c r="J24" s="66">
        <v>0.22500000000000001</v>
      </c>
      <c r="K24" s="65">
        <v>0</v>
      </c>
      <c r="L24" s="66">
        <v>0</v>
      </c>
    </row>
    <row r="25" spans="1:12" x14ac:dyDescent="0.25">
      <c r="A25" s="64" t="s">
        <v>54</v>
      </c>
      <c r="B25" s="64" t="s">
        <v>91</v>
      </c>
      <c r="C25" s="64" t="s">
        <v>63</v>
      </c>
      <c r="D25" s="65">
        <v>76828.36</v>
      </c>
      <c r="E25" s="65">
        <v>0</v>
      </c>
      <c r="F25" s="66">
        <v>0</v>
      </c>
      <c r="G25" s="65">
        <v>0</v>
      </c>
      <c r="H25" s="66">
        <v>0</v>
      </c>
      <c r="I25" s="65">
        <v>0</v>
      </c>
      <c r="J25" s="66">
        <v>0</v>
      </c>
      <c r="K25" s="65">
        <v>0</v>
      </c>
      <c r="L25" s="66">
        <v>0</v>
      </c>
    </row>
    <row r="26" spans="1:12" x14ac:dyDescent="0.25">
      <c r="A26" s="64" t="s">
        <v>27</v>
      </c>
      <c r="B26" s="64" t="s">
        <v>28</v>
      </c>
      <c r="C26" s="64" t="s">
        <v>30</v>
      </c>
      <c r="D26" s="65">
        <v>166217.75</v>
      </c>
      <c r="E26" s="65">
        <v>166217.75</v>
      </c>
      <c r="F26" s="66">
        <v>1</v>
      </c>
      <c r="G26" s="65">
        <v>166217.75</v>
      </c>
      <c r="H26" s="66">
        <v>1</v>
      </c>
      <c r="I26" s="65">
        <v>166217.75</v>
      </c>
      <c r="J26" s="66">
        <v>1</v>
      </c>
      <c r="K26" s="65">
        <v>0</v>
      </c>
      <c r="L26" s="66">
        <v>0</v>
      </c>
    </row>
    <row r="27" spans="1:12" ht="45" x14ac:dyDescent="0.25">
      <c r="A27" s="64" t="s">
        <v>27</v>
      </c>
      <c r="B27" s="64" t="s">
        <v>96</v>
      </c>
      <c r="C27" s="64" t="s">
        <v>32</v>
      </c>
      <c r="D27" s="65">
        <v>10000</v>
      </c>
      <c r="E27" s="65">
        <v>10000</v>
      </c>
      <c r="F27" s="66">
        <v>1</v>
      </c>
      <c r="G27" s="65">
        <v>10000</v>
      </c>
      <c r="H27" s="66">
        <v>1</v>
      </c>
      <c r="I27" s="65">
        <v>10000</v>
      </c>
      <c r="J27" s="66">
        <v>1</v>
      </c>
      <c r="K27" s="67"/>
      <c r="L27" s="67"/>
    </row>
    <row r="28" spans="1:12" x14ac:dyDescent="0.25">
      <c r="A28" s="64" t="s">
        <v>27</v>
      </c>
      <c r="B28" s="64" t="s">
        <v>31</v>
      </c>
      <c r="C28" s="64" t="s">
        <v>33</v>
      </c>
      <c r="D28" s="65">
        <v>105523.13032</v>
      </c>
      <c r="E28" s="65">
        <v>105523.13032</v>
      </c>
      <c r="F28" s="66">
        <v>1</v>
      </c>
      <c r="G28" s="65">
        <v>105523.13032</v>
      </c>
      <c r="H28" s="66">
        <v>1</v>
      </c>
      <c r="I28" s="65">
        <v>105523.13032</v>
      </c>
      <c r="J28" s="66">
        <v>1</v>
      </c>
      <c r="K28" s="65">
        <v>0</v>
      </c>
      <c r="L28" s="66">
        <v>0</v>
      </c>
    </row>
    <row r="29" spans="1:12" ht="45" x14ac:dyDescent="0.25">
      <c r="A29" s="64" t="s">
        <v>27</v>
      </c>
      <c r="B29" s="64" t="s">
        <v>97</v>
      </c>
      <c r="C29" s="64" t="s">
        <v>35</v>
      </c>
      <c r="D29" s="65">
        <v>8130</v>
      </c>
      <c r="E29" s="65">
        <v>8130</v>
      </c>
      <c r="F29" s="66">
        <v>1</v>
      </c>
      <c r="G29" s="65">
        <v>8130</v>
      </c>
      <c r="H29" s="66">
        <v>1</v>
      </c>
      <c r="I29" s="65">
        <v>8130</v>
      </c>
      <c r="J29" s="66">
        <v>1</v>
      </c>
      <c r="K29" s="67"/>
      <c r="L29" s="67"/>
    </row>
    <row r="30" spans="1:12" x14ac:dyDescent="0.25">
      <c r="A30" s="64" t="s">
        <v>27</v>
      </c>
      <c r="B30" s="64" t="s">
        <v>34</v>
      </c>
      <c r="C30" s="64" t="s">
        <v>36</v>
      </c>
      <c r="D30" s="65">
        <v>23734.43</v>
      </c>
      <c r="E30" s="65">
        <v>23734.43</v>
      </c>
      <c r="F30" s="66">
        <v>1</v>
      </c>
      <c r="G30" s="65">
        <v>23734.43</v>
      </c>
      <c r="H30" s="66">
        <v>1</v>
      </c>
      <c r="I30" s="65">
        <v>23734.43</v>
      </c>
      <c r="J30" s="66">
        <v>1</v>
      </c>
      <c r="K30" s="65">
        <v>23734.43</v>
      </c>
      <c r="L30" s="66">
        <v>1</v>
      </c>
    </row>
    <row r="31" spans="1:12" x14ac:dyDescent="0.25">
      <c r="A31" s="64" t="s">
        <v>27</v>
      </c>
      <c r="B31" s="64" t="s">
        <v>95</v>
      </c>
      <c r="C31" s="64" t="s">
        <v>29</v>
      </c>
      <c r="D31" s="65">
        <v>38873.682999999997</v>
      </c>
      <c r="E31" s="65">
        <v>38873.682999999997</v>
      </c>
      <c r="F31" s="66">
        <v>1</v>
      </c>
      <c r="G31" s="65">
        <v>38873.682999999997</v>
      </c>
      <c r="H31" s="66">
        <v>1</v>
      </c>
      <c r="I31" s="65">
        <v>38873.682999999997</v>
      </c>
      <c r="J31" s="66">
        <v>1</v>
      </c>
      <c r="K31" s="67"/>
      <c r="L31" s="67"/>
    </row>
    <row r="32" spans="1:12" x14ac:dyDescent="0.25">
      <c r="A32" s="64" t="s">
        <v>37</v>
      </c>
      <c r="B32" s="64" t="s">
        <v>38</v>
      </c>
      <c r="C32" s="64" t="s">
        <v>30</v>
      </c>
      <c r="D32" s="65">
        <v>176865.63999999998</v>
      </c>
      <c r="E32" s="65">
        <v>176865.63999999998</v>
      </c>
      <c r="F32" s="66">
        <v>1</v>
      </c>
      <c r="G32" s="65">
        <v>176865.63999999998</v>
      </c>
      <c r="H32" s="66">
        <v>1</v>
      </c>
      <c r="I32" s="65">
        <v>176865.63999999998</v>
      </c>
      <c r="J32" s="66">
        <v>1</v>
      </c>
      <c r="K32" s="65">
        <v>0</v>
      </c>
      <c r="L32" s="66">
        <v>0</v>
      </c>
    </row>
    <row r="33" spans="1:12" ht="45" x14ac:dyDescent="0.25">
      <c r="A33" s="64" t="s">
        <v>37</v>
      </c>
      <c r="B33" s="64" t="s">
        <v>98</v>
      </c>
      <c r="C33" s="64" t="s">
        <v>40</v>
      </c>
      <c r="D33" s="65">
        <v>28853.47</v>
      </c>
      <c r="E33" s="65">
        <v>28853.47</v>
      </c>
      <c r="F33" s="66">
        <v>1</v>
      </c>
      <c r="G33" s="65">
        <v>28853.47</v>
      </c>
      <c r="H33" s="66">
        <v>1</v>
      </c>
      <c r="I33" s="65">
        <v>28853.47</v>
      </c>
      <c r="J33" s="66">
        <v>1</v>
      </c>
      <c r="K33" s="67"/>
      <c r="L33" s="67"/>
    </row>
    <row r="34" spans="1:12" x14ac:dyDescent="0.25">
      <c r="A34" s="64" t="s">
        <v>37</v>
      </c>
      <c r="B34" s="64" t="s">
        <v>39</v>
      </c>
      <c r="C34" s="64" t="s">
        <v>41</v>
      </c>
      <c r="D34" s="65">
        <v>48011.730000000018</v>
      </c>
      <c r="E34" s="65">
        <v>48011.730000000018</v>
      </c>
      <c r="F34" s="66">
        <v>1</v>
      </c>
      <c r="G34" s="65">
        <v>48011.730000000018</v>
      </c>
      <c r="H34" s="66">
        <v>1</v>
      </c>
      <c r="I34" s="65">
        <v>48011.730000000018</v>
      </c>
      <c r="J34" s="66">
        <v>1</v>
      </c>
      <c r="K34" s="65">
        <v>0</v>
      </c>
      <c r="L34" s="66">
        <v>0</v>
      </c>
    </row>
    <row r="35" spans="1:12" x14ac:dyDescent="0.25">
      <c r="A35" s="64" t="s">
        <v>48</v>
      </c>
      <c r="B35" s="64" t="s">
        <v>50</v>
      </c>
      <c r="C35" s="64" t="s">
        <v>30</v>
      </c>
      <c r="D35" s="65">
        <v>161909.82999999999</v>
      </c>
      <c r="E35" s="65">
        <v>161909.82999999999</v>
      </c>
      <c r="F35" s="66">
        <v>1</v>
      </c>
      <c r="G35" s="65">
        <v>161909.82999999999</v>
      </c>
      <c r="H35" s="66">
        <v>1</v>
      </c>
      <c r="I35" s="65">
        <v>161909.82999999999</v>
      </c>
      <c r="J35" s="66">
        <v>1</v>
      </c>
      <c r="K35" s="65">
        <v>0</v>
      </c>
      <c r="L35" s="66">
        <v>0</v>
      </c>
    </row>
    <row r="36" spans="1:12" ht="45" x14ac:dyDescent="0.25">
      <c r="A36" s="64" t="s">
        <v>48</v>
      </c>
      <c r="B36" s="64" t="s">
        <v>99</v>
      </c>
      <c r="C36" s="64" t="s">
        <v>40</v>
      </c>
      <c r="D36" s="65">
        <v>36020.75</v>
      </c>
      <c r="E36" s="65">
        <v>36020.75</v>
      </c>
      <c r="F36" s="66">
        <v>1</v>
      </c>
      <c r="G36" s="65">
        <v>36020.75</v>
      </c>
      <c r="H36" s="66">
        <v>1</v>
      </c>
      <c r="I36" s="65">
        <v>36020.75</v>
      </c>
      <c r="J36" s="66">
        <v>1</v>
      </c>
      <c r="K36" s="67"/>
      <c r="L36" s="67"/>
    </row>
    <row r="37" spans="1:12" x14ac:dyDescent="0.25">
      <c r="A37" s="64" t="s">
        <v>48</v>
      </c>
      <c r="B37" s="64" t="s">
        <v>49</v>
      </c>
      <c r="C37" s="64" t="s">
        <v>41</v>
      </c>
      <c r="D37" s="65">
        <v>161909.82999999999</v>
      </c>
      <c r="E37" s="65">
        <v>161909.82999999999</v>
      </c>
      <c r="F37" s="66">
        <v>1</v>
      </c>
      <c r="G37" s="65">
        <v>161909.82999999999</v>
      </c>
      <c r="H37" s="66">
        <v>1</v>
      </c>
      <c r="I37" s="65">
        <v>161909.82999999999</v>
      </c>
      <c r="J37" s="66">
        <v>1</v>
      </c>
      <c r="K37" s="65">
        <v>0</v>
      </c>
      <c r="L37" s="66">
        <v>0</v>
      </c>
    </row>
    <row r="38" spans="1:12" x14ac:dyDescent="0.25">
      <c r="A38" s="64" t="s">
        <v>48</v>
      </c>
      <c r="B38" s="64" t="s">
        <v>53</v>
      </c>
      <c r="C38" s="64" t="s">
        <v>30</v>
      </c>
      <c r="D38" s="65">
        <v>38583.480000000003</v>
      </c>
      <c r="E38" s="65">
        <v>38583.480000000003</v>
      </c>
      <c r="F38" s="66">
        <v>1</v>
      </c>
      <c r="G38" s="65">
        <v>38583.480000000003</v>
      </c>
      <c r="H38" s="66">
        <v>1</v>
      </c>
      <c r="I38" s="65">
        <v>38583.480000000003</v>
      </c>
      <c r="J38" s="66">
        <v>1</v>
      </c>
      <c r="K38" s="65">
        <v>350.74984454545466</v>
      </c>
      <c r="L38" s="66">
        <v>9.0906741575787001E-3</v>
      </c>
    </row>
    <row r="39" spans="1:12" x14ac:dyDescent="0.25">
      <c r="A39" s="64" t="s">
        <v>42</v>
      </c>
      <c r="B39" s="64" t="s">
        <v>43</v>
      </c>
      <c r="C39" s="64" t="s">
        <v>30</v>
      </c>
      <c r="D39" s="65">
        <v>117331.46</v>
      </c>
      <c r="E39" s="65">
        <v>117331.46</v>
      </c>
      <c r="F39" s="66">
        <v>1</v>
      </c>
      <c r="G39" s="65">
        <v>117331.46</v>
      </c>
      <c r="H39" s="66">
        <v>1</v>
      </c>
      <c r="I39" s="65">
        <v>117331.46</v>
      </c>
      <c r="J39" s="66">
        <v>1</v>
      </c>
      <c r="K39" s="65">
        <v>117331.46</v>
      </c>
      <c r="L39" s="66">
        <v>1</v>
      </c>
    </row>
    <row r="40" spans="1:12" ht="45" x14ac:dyDescent="0.25">
      <c r="A40" s="64" t="s">
        <v>42</v>
      </c>
      <c r="B40" s="64" t="s">
        <v>100</v>
      </c>
      <c r="C40" s="64" t="s">
        <v>40</v>
      </c>
      <c r="D40" s="65">
        <v>32085.040000000001</v>
      </c>
      <c r="E40" s="65">
        <v>32085.040000000001</v>
      </c>
      <c r="F40" s="66">
        <v>1</v>
      </c>
      <c r="G40" s="65">
        <v>32085.040000000001</v>
      </c>
      <c r="H40" s="66">
        <v>1</v>
      </c>
      <c r="I40" s="65">
        <v>32085.040000000001</v>
      </c>
      <c r="J40" s="66">
        <v>1</v>
      </c>
      <c r="K40" s="67"/>
      <c r="L40" s="67"/>
    </row>
    <row r="41" spans="1:12" x14ac:dyDescent="0.25">
      <c r="A41" s="64" t="s">
        <v>42</v>
      </c>
      <c r="B41" s="64" t="s">
        <v>44</v>
      </c>
      <c r="C41" s="64" t="s">
        <v>41</v>
      </c>
      <c r="D41" s="65">
        <v>52880.41</v>
      </c>
      <c r="E41" s="65">
        <v>52880.41</v>
      </c>
      <c r="F41" s="66">
        <v>1</v>
      </c>
      <c r="G41" s="65">
        <v>52880.41</v>
      </c>
      <c r="H41" s="66">
        <v>1</v>
      </c>
      <c r="I41" s="65">
        <v>52880.41</v>
      </c>
      <c r="J41" s="66">
        <v>1</v>
      </c>
      <c r="K41" s="65">
        <v>0</v>
      </c>
      <c r="L41" s="66">
        <v>0</v>
      </c>
    </row>
    <row r="42" spans="1:12" x14ac:dyDescent="0.25">
      <c r="A42" s="64" t="s">
        <v>42</v>
      </c>
      <c r="B42" s="64" t="s">
        <v>45</v>
      </c>
      <c r="C42" s="64" t="s">
        <v>46</v>
      </c>
      <c r="D42" s="65">
        <v>45121.45</v>
      </c>
      <c r="E42" s="65">
        <v>45121.45</v>
      </c>
      <c r="F42" s="66">
        <v>1</v>
      </c>
      <c r="G42" s="65">
        <v>45121.45</v>
      </c>
      <c r="H42" s="66">
        <v>1</v>
      </c>
      <c r="I42" s="65">
        <v>45121.45</v>
      </c>
      <c r="J42" s="66">
        <v>1</v>
      </c>
      <c r="K42" s="65">
        <v>45121.45</v>
      </c>
      <c r="L42" s="66">
        <v>1</v>
      </c>
    </row>
    <row r="43" spans="1:12" x14ac:dyDescent="0.25">
      <c r="A43" s="64" t="s">
        <v>42</v>
      </c>
      <c r="B43" s="64" t="s">
        <v>92</v>
      </c>
      <c r="C43" s="64" t="s">
        <v>30</v>
      </c>
      <c r="D43" s="65">
        <v>23707.337294800007</v>
      </c>
      <c r="E43" s="65">
        <v>23707.337294800007</v>
      </c>
      <c r="F43" s="66">
        <v>1</v>
      </c>
      <c r="G43" s="65">
        <v>23707.337294800007</v>
      </c>
      <c r="H43" s="66">
        <v>1</v>
      </c>
      <c r="I43" s="65">
        <v>23707.337294800007</v>
      </c>
      <c r="J43" s="66">
        <v>1</v>
      </c>
      <c r="K43" s="65">
        <v>0</v>
      </c>
      <c r="L43" s="66">
        <v>0</v>
      </c>
    </row>
    <row r="44" spans="1:12" x14ac:dyDescent="0.25">
      <c r="A44" s="64" t="s">
        <v>128</v>
      </c>
      <c r="B44" s="64" t="s">
        <v>128</v>
      </c>
      <c r="C44" s="64" t="s">
        <v>30</v>
      </c>
      <c r="D44" s="65">
        <v>733.58</v>
      </c>
      <c r="E44" s="65">
        <v>733.58</v>
      </c>
      <c r="F44" s="66">
        <v>1</v>
      </c>
      <c r="G44" s="65">
        <v>0</v>
      </c>
      <c r="H44" s="66">
        <v>0</v>
      </c>
      <c r="I44" s="65">
        <v>0</v>
      </c>
      <c r="J44" s="66">
        <v>0</v>
      </c>
      <c r="K44" s="67"/>
      <c r="L44" s="67"/>
    </row>
    <row r="45" spans="1:12" x14ac:dyDescent="0.25">
      <c r="A45" s="64" t="s">
        <v>47</v>
      </c>
      <c r="B45" s="64" t="s">
        <v>47</v>
      </c>
      <c r="C45" s="64" t="s">
        <v>30</v>
      </c>
      <c r="D45" s="65">
        <v>231366.76</v>
      </c>
      <c r="E45" s="65">
        <v>231366.76</v>
      </c>
      <c r="F45" s="66">
        <v>1</v>
      </c>
      <c r="G45" s="65">
        <v>231366.76</v>
      </c>
      <c r="H45" s="66">
        <v>1</v>
      </c>
      <c r="I45" s="65">
        <v>231366.76</v>
      </c>
      <c r="J45" s="66">
        <v>1</v>
      </c>
      <c r="K45" s="65">
        <v>197529.26080194977</v>
      </c>
      <c r="L45" s="66">
        <v>0.85374952219562461</v>
      </c>
    </row>
    <row r="46" spans="1:12" x14ac:dyDescent="0.25">
      <c r="A46" s="64" t="s">
        <v>51</v>
      </c>
      <c r="B46" s="64" t="s">
        <v>73</v>
      </c>
      <c r="C46" s="64" t="s">
        <v>30</v>
      </c>
      <c r="D46" s="65">
        <v>37063.279999999999</v>
      </c>
      <c r="E46" s="65">
        <v>37063.279999999999</v>
      </c>
      <c r="F46" s="66">
        <v>1</v>
      </c>
      <c r="G46" s="65">
        <v>37063.279999999999</v>
      </c>
      <c r="H46" s="66">
        <v>1</v>
      </c>
      <c r="I46" s="65">
        <v>32430.37</v>
      </c>
      <c r="J46" s="66">
        <v>0.875</v>
      </c>
      <c r="K46" s="65">
        <v>0</v>
      </c>
      <c r="L46" s="66">
        <v>0</v>
      </c>
    </row>
    <row r="47" spans="1:12" x14ac:dyDescent="0.25">
      <c r="A47" s="64" t="s">
        <v>51</v>
      </c>
      <c r="B47" s="64" t="s">
        <v>73</v>
      </c>
      <c r="C47" s="64" t="s">
        <v>46</v>
      </c>
      <c r="D47" s="65">
        <v>37063.279999999999</v>
      </c>
      <c r="E47" s="65">
        <v>28826.995555555553</v>
      </c>
      <c r="F47" s="66">
        <v>0.77777777777777779</v>
      </c>
      <c r="G47" s="65">
        <v>28826.995555555553</v>
      </c>
      <c r="H47" s="66">
        <v>0.77777777777777779</v>
      </c>
      <c r="I47" s="65">
        <v>26767.924444444445</v>
      </c>
      <c r="J47" s="66">
        <v>0.72222222222222221</v>
      </c>
      <c r="K47" s="65">
        <v>0</v>
      </c>
      <c r="L47" s="66">
        <v>0</v>
      </c>
    </row>
    <row r="48" spans="1:12" x14ac:dyDescent="0.25">
      <c r="A48" s="64" t="s">
        <v>51</v>
      </c>
      <c r="B48" s="64" t="s">
        <v>73</v>
      </c>
      <c r="C48" s="64" t="s">
        <v>74</v>
      </c>
      <c r="D48" s="65">
        <v>37063.279999999999</v>
      </c>
      <c r="E48" s="65">
        <v>37063.279999999999</v>
      </c>
      <c r="F48" s="66">
        <v>1</v>
      </c>
      <c r="G48" s="65">
        <v>37063.279999999999</v>
      </c>
      <c r="H48" s="66">
        <v>1</v>
      </c>
      <c r="I48" s="65">
        <v>0</v>
      </c>
      <c r="J48" s="66">
        <v>0</v>
      </c>
      <c r="K48" s="65">
        <v>0</v>
      </c>
      <c r="L48" s="66">
        <v>0</v>
      </c>
    </row>
    <row r="49" spans="1:12" x14ac:dyDescent="0.25">
      <c r="A49" s="64" t="s">
        <v>51</v>
      </c>
      <c r="B49" s="64" t="s">
        <v>72</v>
      </c>
      <c r="C49" s="64" t="s">
        <v>46</v>
      </c>
      <c r="D49" s="65">
        <v>112594.34</v>
      </c>
      <c r="E49" s="65">
        <v>112594.34</v>
      </c>
      <c r="F49" s="66">
        <v>1</v>
      </c>
      <c r="G49" s="65">
        <v>112594.34</v>
      </c>
      <c r="H49" s="66">
        <v>1</v>
      </c>
      <c r="I49" s="65">
        <v>112594.34</v>
      </c>
      <c r="J49" s="66">
        <v>1</v>
      </c>
      <c r="K49" s="65">
        <v>0</v>
      </c>
      <c r="L49" s="66">
        <v>0</v>
      </c>
    </row>
    <row r="50" spans="1:12" x14ac:dyDescent="0.25">
      <c r="A50" s="64" t="s">
        <v>51</v>
      </c>
      <c r="B50" s="64" t="s">
        <v>69</v>
      </c>
      <c r="C50" s="64" t="s">
        <v>70</v>
      </c>
      <c r="D50" s="65">
        <v>103605.23999999983</v>
      </c>
      <c r="E50" s="65">
        <v>103605.23999999983</v>
      </c>
      <c r="F50" s="66">
        <v>1</v>
      </c>
      <c r="G50" s="65">
        <v>103605.23999999983</v>
      </c>
      <c r="H50" s="66">
        <v>1</v>
      </c>
      <c r="I50" s="65">
        <v>103605.23999999983</v>
      </c>
      <c r="J50" s="66">
        <v>1</v>
      </c>
      <c r="K50" s="65">
        <v>0</v>
      </c>
      <c r="L50" s="66">
        <v>0</v>
      </c>
    </row>
    <row r="51" spans="1:12" x14ac:dyDescent="0.25">
      <c r="A51" s="64" t="s">
        <v>51</v>
      </c>
      <c r="B51" s="64" t="s">
        <v>68</v>
      </c>
      <c r="C51" s="64" t="s">
        <v>30</v>
      </c>
      <c r="D51" s="65">
        <v>91700.06</v>
      </c>
      <c r="E51" s="65">
        <v>91700.06</v>
      </c>
      <c r="F51" s="66">
        <v>1</v>
      </c>
      <c r="G51" s="65">
        <v>91700.06</v>
      </c>
      <c r="H51" s="66">
        <v>1</v>
      </c>
      <c r="I51" s="65">
        <v>91700.06</v>
      </c>
      <c r="J51" s="66">
        <v>1</v>
      </c>
      <c r="K51" s="65">
        <v>9324.4140034894335</v>
      </c>
      <c r="L51" s="66">
        <v>0.10168383754044909</v>
      </c>
    </row>
    <row r="52" spans="1:12" x14ac:dyDescent="0.25">
      <c r="A52" s="64" t="s">
        <v>51</v>
      </c>
      <c r="B52" s="64" t="s">
        <v>68</v>
      </c>
      <c r="C52" s="64" t="s">
        <v>61</v>
      </c>
      <c r="D52" s="65">
        <v>3911.9090000000001</v>
      </c>
      <c r="E52" s="65">
        <v>3911.9090000000001</v>
      </c>
      <c r="F52" s="66">
        <v>1</v>
      </c>
      <c r="G52" s="65">
        <v>3911.9090000000001</v>
      </c>
      <c r="H52" s="66">
        <v>1</v>
      </c>
      <c r="I52" s="65">
        <v>3911.9090000000001</v>
      </c>
      <c r="J52" s="66">
        <v>1</v>
      </c>
      <c r="K52" s="65">
        <v>348.38469903147336</v>
      </c>
      <c r="L52" s="66">
        <v>8.9057465046214868E-2</v>
      </c>
    </row>
    <row r="53" spans="1:12" x14ac:dyDescent="0.25">
      <c r="A53" s="64" t="s">
        <v>51</v>
      </c>
      <c r="B53" s="64" t="s">
        <v>68</v>
      </c>
      <c r="C53" s="64" t="s">
        <v>46</v>
      </c>
      <c r="D53" s="65">
        <v>313.09100000000001</v>
      </c>
      <c r="E53" s="65">
        <v>313.09100000000001</v>
      </c>
      <c r="F53" s="66">
        <v>1</v>
      </c>
      <c r="G53" s="65">
        <v>313.09100000000001</v>
      </c>
      <c r="H53" s="66">
        <v>1</v>
      </c>
      <c r="I53" s="65">
        <v>313.09100000000001</v>
      </c>
      <c r="J53" s="66">
        <v>1</v>
      </c>
      <c r="K53" s="65">
        <v>313.09082429299076</v>
      </c>
      <c r="L53" s="66">
        <v>0.99999943879891395</v>
      </c>
    </row>
    <row r="54" spans="1:12" x14ac:dyDescent="0.25">
      <c r="A54" s="64" t="s">
        <v>51</v>
      </c>
      <c r="B54" s="64" t="s">
        <v>60</v>
      </c>
      <c r="C54" s="64" t="s">
        <v>30</v>
      </c>
      <c r="D54" s="65">
        <v>90800.14</v>
      </c>
      <c r="E54" s="65">
        <v>90800.14</v>
      </c>
      <c r="F54" s="66">
        <v>1</v>
      </c>
      <c r="G54" s="65">
        <v>90800.14</v>
      </c>
      <c r="H54" s="66">
        <v>1</v>
      </c>
      <c r="I54" s="65">
        <v>90800.14</v>
      </c>
      <c r="J54" s="66">
        <v>1</v>
      </c>
      <c r="K54" s="65">
        <v>10153.047824795449</v>
      </c>
      <c r="L54" s="66">
        <v>0.11181753491564494</v>
      </c>
    </row>
    <row r="55" spans="1:12" x14ac:dyDescent="0.25">
      <c r="A55" s="64" t="s">
        <v>51</v>
      </c>
      <c r="B55" s="64" t="s">
        <v>60</v>
      </c>
      <c r="C55" s="64" t="s">
        <v>61</v>
      </c>
      <c r="D55" s="65">
        <v>3099.45</v>
      </c>
      <c r="E55" s="65">
        <v>3099.45</v>
      </c>
      <c r="F55" s="66">
        <v>1</v>
      </c>
      <c r="G55" s="65">
        <v>3099.45</v>
      </c>
      <c r="H55" s="66">
        <v>1</v>
      </c>
      <c r="I55" s="65">
        <v>3099.45</v>
      </c>
      <c r="J55" s="66">
        <v>1</v>
      </c>
      <c r="K55" s="65">
        <v>316.12053666945536</v>
      </c>
      <c r="L55" s="66">
        <v>0.10199246210439122</v>
      </c>
    </row>
    <row r="56" spans="1:12" x14ac:dyDescent="0.25">
      <c r="A56" s="64" t="s">
        <v>51</v>
      </c>
      <c r="B56" s="64" t="s">
        <v>60</v>
      </c>
      <c r="C56" s="64" t="s">
        <v>46</v>
      </c>
      <c r="D56" s="65">
        <v>1909.55</v>
      </c>
      <c r="E56" s="65">
        <v>1909.55</v>
      </c>
      <c r="F56" s="66">
        <v>1</v>
      </c>
      <c r="G56" s="65">
        <v>1909.55</v>
      </c>
      <c r="H56" s="66">
        <v>1</v>
      </c>
      <c r="I56" s="65">
        <v>1909.55</v>
      </c>
      <c r="J56" s="66">
        <v>1</v>
      </c>
      <c r="K56" s="65">
        <v>1909.55</v>
      </c>
      <c r="L56" s="66">
        <v>1</v>
      </c>
    </row>
    <row r="57" spans="1:12" x14ac:dyDescent="0.25">
      <c r="A57" s="64" t="s">
        <v>51</v>
      </c>
      <c r="B57" s="64" t="s">
        <v>57</v>
      </c>
      <c r="C57" s="64" t="s">
        <v>30</v>
      </c>
      <c r="D57" s="65">
        <v>95330.38</v>
      </c>
      <c r="E57" s="65">
        <v>95330.38</v>
      </c>
      <c r="F57" s="66">
        <v>1</v>
      </c>
      <c r="G57" s="65">
        <v>95330.38</v>
      </c>
      <c r="H57" s="66">
        <v>1</v>
      </c>
      <c r="I57" s="65">
        <v>95330.38</v>
      </c>
      <c r="J57" s="66">
        <v>1</v>
      </c>
      <c r="K57" s="65">
        <v>10725.196913819915</v>
      </c>
      <c r="L57" s="66">
        <v>0.11250555084139929</v>
      </c>
    </row>
    <row r="58" spans="1:12" x14ac:dyDescent="0.25">
      <c r="A58" s="64" t="s">
        <v>51</v>
      </c>
      <c r="B58" s="64" t="s">
        <v>55</v>
      </c>
      <c r="C58" s="64" t="s">
        <v>30</v>
      </c>
      <c r="D58" s="65">
        <v>120097.08</v>
      </c>
      <c r="E58" s="65">
        <v>120097.08</v>
      </c>
      <c r="F58" s="66">
        <v>1</v>
      </c>
      <c r="G58" s="65">
        <v>120097.08</v>
      </c>
      <c r="H58" s="66">
        <v>1</v>
      </c>
      <c r="I58" s="65">
        <v>120097.08</v>
      </c>
      <c r="J58" s="66">
        <v>1</v>
      </c>
      <c r="K58" s="65">
        <v>0</v>
      </c>
      <c r="L58" s="66">
        <v>0</v>
      </c>
    </row>
    <row r="59" spans="1:12" x14ac:dyDescent="0.25">
      <c r="A59" s="64" t="s">
        <v>51</v>
      </c>
      <c r="B59" s="64" t="s">
        <v>55</v>
      </c>
      <c r="C59" s="64" t="s">
        <v>56</v>
      </c>
      <c r="D59" s="65">
        <v>377.43</v>
      </c>
      <c r="E59" s="65">
        <v>377.43</v>
      </c>
      <c r="F59" s="66">
        <v>1</v>
      </c>
      <c r="G59" s="65">
        <v>377.43</v>
      </c>
      <c r="H59" s="66">
        <v>1</v>
      </c>
      <c r="I59" s="65">
        <v>377.43</v>
      </c>
      <c r="J59" s="66">
        <v>1</v>
      </c>
      <c r="K59" s="65">
        <v>0</v>
      </c>
      <c r="L59" s="66">
        <v>0</v>
      </c>
    </row>
    <row r="60" spans="1:12" x14ac:dyDescent="0.25">
      <c r="A60" s="64" t="s">
        <v>51</v>
      </c>
      <c r="B60" s="64" t="s">
        <v>55</v>
      </c>
      <c r="C60" s="64" t="s">
        <v>46</v>
      </c>
      <c r="D60" s="65">
        <v>14276.64</v>
      </c>
      <c r="E60" s="65">
        <v>14276.64</v>
      </c>
      <c r="F60" s="66">
        <v>1</v>
      </c>
      <c r="G60" s="65">
        <v>14276.64</v>
      </c>
      <c r="H60" s="66">
        <v>1</v>
      </c>
      <c r="I60" s="65">
        <v>14276.64</v>
      </c>
      <c r="J60" s="66">
        <v>1</v>
      </c>
      <c r="K60" s="65">
        <v>0</v>
      </c>
      <c r="L60" s="66">
        <v>0</v>
      </c>
    </row>
    <row r="61" spans="1:12" x14ac:dyDescent="0.25">
      <c r="A61" s="64" t="s">
        <v>51</v>
      </c>
      <c r="B61" s="64" t="s">
        <v>52</v>
      </c>
      <c r="C61" s="64" t="s">
        <v>30</v>
      </c>
      <c r="D61" s="65">
        <v>68960.590000000026</v>
      </c>
      <c r="E61" s="65">
        <v>68960.590000000026</v>
      </c>
      <c r="F61" s="66">
        <v>1</v>
      </c>
      <c r="G61" s="65">
        <v>68960.590000000026</v>
      </c>
      <c r="H61" s="66">
        <v>1</v>
      </c>
      <c r="I61" s="65">
        <v>68960.590000000026</v>
      </c>
      <c r="J61" s="66">
        <v>1</v>
      </c>
      <c r="K61" s="65">
        <v>10984.872743362903</v>
      </c>
      <c r="L61" s="66">
        <v>0.15929203539823106</v>
      </c>
    </row>
    <row r="62" spans="1:12" ht="30" x14ac:dyDescent="0.25">
      <c r="A62" s="66" t="s">
        <v>114</v>
      </c>
      <c r="B62" s="66" t="s">
        <v>114</v>
      </c>
      <c r="C62" s="66" t="s">
        <v>114</v>
      </c>
      <c r="D62" s="66" t="s">
        <v>136</v>
      </c>
      <c r="E62" s="66" t="s">
        <v>140</v>
      </c>
      <c r="F62" s="66" t="s">
        <v>114</v>
      </c>
      <c r="G62" s="66" t="s">
        <v>141</v>
      </c>
      <c r="H62" s="66" t="s">
        <v>114</v>
      </c>
      <c r="I62" s="66" t="s">
        <v>142</v>
      </c>
      <c r="J62" s="66" t="s">
        <v>114</v>
      </c>
      <c r="K62" s="66" t="s">
        <v>115</v>
      </c>
      <c r="L62" s="66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62"/>
  <sheetViews>
    <sheetView topLeftCell="A32" workbookViewId="0">
      <selection activeCell="A2" sqref="A2:L61"/>
    </sheetView>
  </sheetViews>
  <sheetFormatPr defaultRowHeight="15" x14ac:dyDescent="0.25"/>
  <sheetData>
    <row r="1" spans="1:12" x14ac:dyDescent="0.25">
      <c r="A1" s="58" t="s">
        <v>102</v>
      </c>
      <c r="B1" s="58" t="s">
        <v>103</v>
      </c>
      <c r="C1" s="58" t="s">
        <v>104</v>
      </c>
      <c r="D1" s="58" t="s">
        <v>105</v>
      </c>
      <c r="E1" s="58" t="s">
        <v>106</v>
      </c>
      <c r="F1" s="58" t="s">
        <v>107</v>
      </c>
      <c r="G1" s="58" t="s">
        <v>108</v>
      </c>
      <c r="H1" s="58" t="s">
        <v>109</v>
      </c>
      <c r="I1" s="58" t="s">
        <v>110</v>
      </c>
      <c r="J1" s="58" t="s">
        <v>111</v>
      </c>
      <c r="K1" s="58" t="s">
        <v>112</v>
      </c>
      <c r="L1" s="58" t="s">
        <v>113</v>
      </c>
    </row>
    <row r="2" spans="1:12" x14ac:dyDescent="0.25">
      <c r="A2" s="59" t="s">
        <v>54</v>
      </c>
      <c r="B2" s="59" t="s">
        <v>82</v>
      </c>
      <c r="C2" s="59" t="s">
        <v>83</v>
      </c>
      <c r="D2" s="60">
        <v>61696.523999999998</v>
      </c>
      <c r="E2" s="60">
        <v>61696.523999999998</v>
      </c>
      <c r="F2" s="61">
        <v>1</v>
      </c>
      <c r="G2" s="60">
        <v>61696.523999999998</v>
      </c>
      <c r="H2" s="61">
        <v>1</v>
      </c>
      <c r="I2" s="60">
        <v>61696.523999999998</v>
      </c>
      <c r="J2" s="61">
        <v>1</v>
      </c>
      <c r="K2" s="60">
        <v>0</v>
      </c>
      <c r="L2" s="61">
        <v>0</v>
      </c>
    </row>
    <row r="3" spans="1:12" x14ac:dyDescent="0.25">
      <c r="A3" s="59" t="s">
        <v>54</v>
      </c>
      <c r="B3" s="59" t="s">
        <v>84</v>
      </c>
      <c r="C3" s="59" t="s">
        <v>83</v>
      </c>
      <c r="D3" s="60">
        <v>61512.597399999991</v>
      </c>
      <c r="E3" s="60">
        <v>61512.597399999991</v>
      </c>
      <c r="F3" s="61">
        <v>1</v>
      </c>
      <c r="G3" s="60">
        <v>0</v>
      </c>
      <c r="H3" s="61">
        <v>0</v>
      </c>
      <c r="I3" s="60">
        <v>0</v>
      </c>
      <c r="J3" s="61">
        <v>0</v>
      </c>
      <c r="K3" s="60">
        <v>0</v>
      </c>
      <c r="L3" s="61">
        <v>0</v>
      </c>
    </row>
    <row r="4" spans="1:12" x14ac:dyDescent="0.25">
      <c r="A4" s="59" t="s">
        <v>54</v>
      </c>
      <c r="B4" s="59" t="s">
        <v>94</v>
      </c>
      <c r="C4" s="59" t="s">
        <v>101</v>
      </c>
      <c r="D4" s="60">
        <v>116529.74</v>
      </c>
      <c r="E4" s="60">
        <v>58264.87</v>
      </c>
      <c r="F4" s="61">
        <v>0.5</v>
      </c>
      <c r="G4" s="60">
        <v>34958.921999999999</v>
      </c>
      <c r="H4" s="61">
        <v>0.3</v>
      </c>
      <c r="I4" s="60">
        <v>23305.948000000004</v>
      </c>
      <c r="J4" s="61">
        <v>0.2</v>
      </c>
      <c r="K4" s="60">
        <v>0</v>
      </c>
      <c r="L4" s="61">
        <v>0</v>
      </c>
    </row>
    <row r="5" spans="1:12" x14ac:dyDescent="0.25">
      <c r="A5" s="59" t="s">
        <v>54</v>
      </c>
      <c r="B5" s="59" t="s">
        <v>78</v>
      </c>
      <c r="C5" s="59" t="s">
        <v>59</v>
      </c>
      <c r="D5" s="60">
        <v>3632.6453241000008</v>
      </c>
      <c r="E5" s="60">
        <v>3632.6453241000008</v>
      </c>
      <c r="F5" s="61">
        <v>1</v>
      </c>
      <c r="G5" s="60">
        <v>3632.6453241000008</v>
      </c>
      <c r="H5" s="61">
        <v>1</v>
      </c>
      <c r="I5" s="60">
        <v>3632.6453241000008</v>
      </c>
      <c r="J5" s="61">
        <v>1</v>
      </c>
      <c r="K5" s="60">
        <v>82.560121002272751</v>
      </c>
      <c r="L5" s="61">
        <v>2.2727272727272728E-2</v>
      </c>
    </row>
    <row r="6" spans="1:12" ht="30" x14ac:dyDescent="0.25">
      <c r="A6" s="59" t="s">
        <v>54</v>
      </c>
      <c r="B6" s="59" t="s">
        <v>79</v>
      </c>
      <c r="C6" s="59" t="s">
        <v>59</v>
      </c>
      <c r="D6" s="60">
        <v>66526.931673225015</v>
      </c>
      <c r="E6" s="60">
        <v>66526.931673225015</v>
      </c>
      <c r="F6" s="61">
        <v>1</v>
      </c>
      <c r="G6" s="60">
        <v>66526.931673225015</v>
      </c>
      <c r="H6" s="61">
        <v>1</v>
      </c>
      <c r="I6" s="60">
        <v>66526.931673225015</v>
      </c>
      <c r="J6" s="61">
        <v>1</v>
      </c>
      <c r="K6" s="60">
        <v>0</v>
      </c>
      <c r="L6" s="61">
        <v>0</v>
      </c>
    </row>
    <row r="7" spans="1:12" ht="30" x14ac:dyDescent="0.25">
      <c r="A7" s="59" t="s">
        <v>54</v>
      </c>
      <c r="B7" s="59" t="s">
        <v>80</v>
      </c>
      <c r="C7" s="59" t="s">
        <v>59</v>
      </c>
      <c r="D7" s="60">
        <v>27322.570000000014</v>
      </c>
      <c r="E7" s="60">
        <v>27322.570000000014</v>
      </c>
      <c r="F7" s="61">
        <v>1</v>
      </c>
      <c r="G7" s="60">
        <v>27322.570000000014</v>
      </c>
      <c r="H7" s="61">
        <v>1</v>
      </c>
      <c r="I7" s="60">
        <v>27322.570000000014</v>
      </c>
      <c r="J7" s="61">
        <v>1</v>
      </c>
      <c r="K7" s="60">
        <v>0</v>
      </c>
      <c r="L7" s="61">
        <v>0</v>
      </c>
    </row>
    <row r="8" spans="1:12" ht="30" x14ac:dyDescent="0.25">
      <c r="A8" s="59" t="s">
        <v>54</v>
      </c>
      <c r="B8" s="59" t="s">
        <v>89</v>
      </c>
      <c r="C8" s="59" t="s">
        <v>59</v>
      </c>
      <c r="D8" s="60">
        <v>7738.9</v>
      </c>
      <c r="E8" s="62"/>
      <c r="F8" s="62"/>
      <c r="G8" s="62"/>
      <c r="H8" s="62"/>
      <c r="I8" s="62"/>
      <c r="J8" s="62"/>
      <c r="K8" s="60">
        <v>0</v>
      </c>
      <c r="L8" s="61">
        <v>0</v>
      </c>
    </row>
    <row r="9" spans="1:12" ht="30" x14ac:dyDescent="0.25">
      <c r="A9" s="59" t="s">
        <v>54</v>
      </c>
      <c r="B9" s="59" t="s">
        <v>90</v>
      </c>
      <c r="C9" s="59" t="s">
        <v>59</v>
      </c>
      <c r="D9" s="60">
        <v>12606.7</v>
      </c>
      <c r="E9" s="60">
        <v>12606.7</v>
      </c>
      <c r="F9" s="61">
        <v>1</v>
      </c>
      <c r="G9" s="60">
        <v>12606.7</v>
      </c>
      <c r="H9" s="61">
        <v>1</v>
      </c>
      <c r="I9" s="60">
        <v>12606.7</v>
      </c>
      <c r="J9" s="61">
        <v>1</v>
      </c>
      <c r="K9" s="60">
        <v>0</v>
      </c>
      <c r="L9" s="61">
        <v>0</v>
      </c>
    </row>
    <row r="10" spans="1:12" ht="30" x14ac:dyDescent="0.25">
      <c r="A10" s="59" t="s">
        <v>54</v>
      </c>
      <c r="B10" s="59" t="s">
        <v>87</v>
      </c>
      <c r="C10" s="59" t="s">
        <v>59</v>
      </c>
      <c r="D10" s="60">
        <v>11821.4</v>
      </c>
      <c r="E10" s="60">
        <v>11821.4</v>
      </c>
      <c r="F10" s="61">
        <v>1</v>
      </c>
      <c r="G10" s="60">
        <v>11821.4</v>
      </c>
      <c r="H10" s="61">
        <v>1</v>
      </c>
      <c r="I10" s="60">
        <v>11821.4</v>
      </c>
      <c r="J10" s="61">
        <v>1</v>
      </c>
      <c r="K10" s="60">
        <v>216.72407407407408</v>
      </c>
      <c r="L10" s="61">
        <v>1.833319861218418E-2</v>
      </c>
    </row>
    <row r="11" spans="1:12" ht="30" x14ac:dyDescent="0.25">
      <c r="A11" s="59" t="s">
        <v>54</v>
      </c>
      <c r="B11" s="59" t="s">
        <v>93</v>
      </c>
      <c r="C11" s="59" t="s">
        <v>59</v>
      </c>
      <c r="D11" s="60">
        <v>13649.20000000001</v>
      </c>
      <c r="E11" s="60">
        <v>13649.20000000001</v>
      </c>
      <c r="F11" s="61">
        <v>1</v>
      </c>
      <c r="G11" s="60">
        <v>13649.20000000001</v>
      </c>
      <c r="H11" s="61">
        <v>1</v>
      </c>
      <c r="I11" s="60">
        <v>13649.20000000001</v>
      </c>
      <c r="J11" s="61">
        <v>1</v>
      </c>
      <c r="K11" s="60">
        <v>0</v>
      </c>
      <c r="L11" s="61">
        <v>0</v>
      </c>
    </row>
    <row r="12" spans="1:12" ht="30" x14ac:dyDescent="0.25">
      <c r="A12" s="59" t="s">
        <v>54</v>
      </c>
      <c r="B12" s="59" t="s">
        <v>58</v>
      </c>
      <c r="C12" s="59" t="s">
        <v>59</v>
      </c>
      <c r="D12" s="60">
        <v>18015.7</v>
      </c>
      <c r="E12" s="60">
        <v>18015.7</v>
      </c>
      <c r="F12" s="61">
        <v>1</v>
      </c>
      <c r="G12" s="60">
        <v>18015.7</v>
      </c>
      <c r="H12" s="61">
        <v>1</v>
      </c>
      <c r="I12" s="60">
        <v>18015.7</v>
      </c>
      <c r="J12" s="61">
        <v>1</v>
      </c>
      <c r="K12" s="60">
        <v>4230.9227077085816</v>
      </c>
      <c r="L12" s="61">
        <v>0.23484642327017999</v>
      </c>
    </row>
    <row r="13" spans="1:12" ht="30" x14ac:dyDescent="0.25">
      <c r="A13" s="59" t="s">
        <v>54</v>
      </c>
      <c r="B13" s="59" t="s">
        <v>77</v>
      </c>
      <c r="C13" s="59" t="s">
        <v>59</v>
      </c>
      <c r="D13" s="60">
        <v>14499.95</v>
      </c>
      <c r="E13" s="60">
        <v>14499.95</v>
      </c>
      <c r="F13" s="61">
        <v>1</v>
      </c>
      <c r="G13" s="60">
        <v>14499.95</v>
      </c>
      <c r="H13" s="61">
        <v>1</v>
      </c>
      <c r="I13" s="60">
        <v>14499.95</v>
      </c>
      <c r="J13" s="61">
        <v>1</v>
      </c>
      <c r="K13" s="60">
        <v>4423.4099160559299</v>
      </c>
      <c r="L13" s="61">
        <v>0.3050638047755978</v>
      </c>
    </row>
    <row r="14" spans="1:12" x14ac:dyDescent="0.25">
      <c r="A14" s="59" t="s">
        <v>54</v>
      </c>
      <c r="B14" s="59" t="s">
        <v>62</v>
      </c>
      <c r="C14" s="59" t="s">
        <v>63</v>
      </c>
      <c r="D14" s="60">
        <v>103272.7</v>
      </c>
      <c r="E14" s="60">
        <v>80323.211111111115</v>
      </c>
      <c r="F14" s="61">
        <v>0.77777777777777779</v>
      </c>
      <c r="G14" s="60">
        <v>63111.094444444447</v>
      </c>
      <c r="H14" s="61">
        <v>0.61111111111111116</v>
      </c>
      <c r="I14" s="60">
        <v>45898.977777777771</v>
      </c>
      <c r="J14" s="61">
        <v>0.44444444444444442</v>
      </c>
      <c r="K14" s="60">
        <v>0</v>
      </c>
      <c r="L14" s="61">
        <v>0</v>
      </c>
    </row>
    <row r="15" spans="1:12" x14ac:dyDescent="0.25">
      <c r="A15" s="59" t="s">
        <v>54</v>
      </c>
      <c r="B15" s="59" t="s">
        <v>64</v>
      </c>
      <c r="C15" s="59" t="s">
        <v>65</v>
      </c>
      <c r="D15" s="60">
        <v>21757.69</v>
      </c>
      <c r="E15" s="60">
        <v>0</v>
      </c>
      <c r="F15" s="61">
        <v>0</v>
      </c>
      <c r="G15" s="60">
        <v>0</v>
      </c>
      <c r="H15" s="61">
        <v>0</v>
      </c>
      <c r="I15" s="60">
        <v>0</v>
      </c>
      <c r="J15" s="61">
        <v>0</v>
      </c>
      <c r="K15" s="60">
        <v>2607.4421395327126</v>
      </c>
      <c r="L15" s="61">
        <v>0.11984002619454145</v>
      </c>
    </row>
    <row r="16" spans="1:12" x14ac:dyDescent="0.25">
      <c r="A16" s="59" t="s">
        <v>54</v>
      </c>
      <c r="B16" s="59" t="s">
        <v>64</v>
      </c>
      <c r="C16" s="59" t="s">
        <v>66</v>
      </c>
      <c r="D16" s="60">
        <v>21757.69</v>
      </c>
      <c r="E16" s="60">
        <v>21757.69</v>
      </c>
      <c r="F16" s="61">
        <v>1</v>
      </c>
      <c r="G16" s="60">
        <v>0</v>
      </c>
      <c r="H16" s="61">
        <v>0</v>
      </c>
      <c r="I16" s="60">
        <v>0</v>
      </c>
      <c r="J16" s="61">
        <v>0</v>
      </c>
      <c r="K16" s="60">
        <v>0</v>
      </c>
      <c r="L16" s="61">
        <v>0</v>
      </c>
    </row>
    <row r="17" spans="1:12" x14ac:dyDescent="0.25">
      <c r="A17" s="59" t="s">
        <v>54</v>
      </c>
      <c r="B17" s="59" t="s">
        <v>64</v>
      </c>
      <c r="C17" s="59" t="s">
        <v>63</v>
      </c>
      <c r="D17" s="60">
        <v>21757.69</v>
      </c>
      <c r="E17" s="60">
        <v>19581.920999999998</v>
      </c>
      <c r="F17" s="61">
        <v>0.9</v>
      </c>
      <c r="G17" s="60">
        <v>19581.920999999998</v>
      </c>
      <c r="H17" s="61">
        <v>0.9</v>
      </c>
      <c r="I17" s="60">
        <v>19581.920999999998</v>
      </c>
      <c r="J17" s="61">
        <v>0.9</v>
      </c>
      <c r="K17" s="60">
        <v>0</v>
      </c>
      <c r="L17" s="61">
        <v>0</v>
      </c>
    </row>
    <row r="18" spans="1:12" x14ac:dyDescent="0.25">
      <c r="A18" s="59" t="s">
        <v>54</v>
      </c>
      <c r="B18" s="59" t="s">
        <v>64</v>
      </c>
      <c r="C18" s="59" t="s">
        <v>67</v>
      </c>
      <c r="D18" s="60">
        <v>21757.69</v>
      </c>
      <c r="E18" s="60">
        <v>13845.802727272727</v>
      </c>
      <c r="F18" s="61">
        <v>0.63636363636363635</v>
      </c>
      <c r="G18" s="60">
        <v>0</v>
      </c>
      <c r="H18" s="61">
        <v>0</v>
      </c>
      <c r="I18" s="60">
        <v>0</v>
      </c>
      <c r="J18" s="61">
        <v>0</v>
      </c>
      <c r="K18" s="60">
        <v>0</v>
      </c>
      <c r="L18" s="61">
        <v>0</v>
      </c>
    </row>
    <row r="19" spans="1:12" x14ac:dyDescent="0.25">
      <c r="A19" s="59" t="s">
        <v>54</v>
      </c>
      <c r="B19" s="59" t="s">
        <v>71</v>
      </c>
      <c r="C19" s="59" t="s">
        <v>63</v>
      </c>
      <c r="D19" s="60">
        <v>82046.400000000009</v>
      </c>
      <c r="E19" s="60">
        <v>82046.400000000009</v>
      </c>
      <c r="F19" s="61">
        <v>1</v>
      </c>
      <c r="G19" s="60">
        <v>82046.400000000009</v>
      </c>
      <c r="H19" s="61">
        <v>1</v>
      </c>
      <c r="I19" s="60">
        <v>82046.400000000009</v>
      </c>
      <c r="J19" s="61">
        <v>1</v>
      </c>
      <c r="K19" s="60">
        <v>0</v>
      </c>
      <c r="L19" s="61">
        <v>0</v>
      </c>
    </row>
    <row r="20" spans="1:12" x14ac:dyDescent="0.25">
      <c r="A20" s="59" t="s">
        <v>54</v>
      </c>
      <c r="B20" s="59" t="s">
        <v>75</v>
      </c>
      <c r="C20" s="59" t="s">
        <v>76</v>
      </c>
      <c r="D20" s="60">
        <v>80497.16</v>
      </c>
      <c r="E20" s="60">
        <v>80497.16</v>
      </c>
      <c r="F20" s="61">
        <v>1</v>
      </c>
      <c r="G20" s="60">
        <v>80497.16</v>
      </c>
      <c r="H20" s="61">
        <v>1</v>
      </c>
      <c r="I20" s="60">
        <v>80497.16</v>
      </c>
      <c r="J20" s="61">
        <v>1</v>
      </c>
      <c r="K20" s="60">
        <v>0</v>
      </c>
      <c r="L20" s="61">
        <v>0</v>
      </c>
    </row>
    <row r="21" spans="1:12" x14ac:dyDescent="0.25">
      <c r="A21" s="59" t="s">
        <v>54</v>
      </c>
      <c r="B21" s="59" t="s">
        <v>81</v>
      </c>
      <c r="C21" s="59" t="s">
        <v>30</v>
      </c>
      <c r="D21" s="60">
        <v>89010.219999999987</v>
      </c>
      <c r="E21" s="60">
        <v>89010.219999999987</v>
      </c>
      <c r="F21" s="61">
        <v>1</v>
      </c>
      <c r="G21" s="60">
        <v>89010.219999999987</v>
      </c>
      <c r="H21" s="61">
        <v>1</v>
      </c>
      <c r="I21" s="60">
        <v>89010.219999999987</v>
      </c>
      <c r="J21" s="61">
        <v>1</v>
      </c>
      <c r="K21" s="60">
        <v>0</v>
      </c>
      <c r="L21" s="61">
        <v>0</v>
      </c>
    </row>
    <row r="22" spans="1:12" x14ac:dyDescent="0.25">
      <c r="A22" s="59" t="s">
        <v>54</v>
      </c>
      <c r="B22" s="59" t="s">
        <v>85</v>
      </c>
      <c r="C22" s="59" t="s">
        <v>30</v>
      </c>
      <c r="D22" s="60">
        <v>88239.10000000002</v>
      </c>
      <c r="E22" s="60">
        <v>88239.10000000002</v>
      </c>
      <c r="F22" s="61">
        <v>1</v>
      </c>
      <c r="G22" s="60">
        <v>88239.10000000002</v>
      </c>
      <c r="H22" s="61">
        <v>1</v>
      </c>
      <c r="I22" s="60">
        <v>0</v>
      </c>
      <c r="J22" s="61">
        <v>0</v>
      </c>
      <c r="K22" s="60">
        <v>0</v>
      </c>
      <c r="L22" s="61">
        <v>0</v>
      </c>
    </row>
    <row r="23" spans="1:12" x14ac:dyDescent="0.25">
      <c r="A23" s="59" t="s">
        <v>54</v>
      </c>
      <c r="B23" s="59" t="s">
        <v>86</v>
      </c>
      <c r="C23" s="59" t="s">
        <v>30</v>
      </c>
      <c r="D23" s="60">
        <v>61132.493900000001</v>
      </c>
      <c r="E23" s="60">
        <v>61132.493900000001</v>
      </c>
      <c r="F23" s="61">
        <v>1</v>
      </c>
      <c r="G23" s="60">
        <v>61132.493900000001</v>
      </c>
      <c r="H23" s="61">
        <v>1</v>
      </c>
      <c r="I23" s="60">
        <v>0</v>
      </c>
      <c r="J23" s="61">
        <v>0</v>
      </c>
      <c r="K23" s="60">
        <v>0</v>
      </c>
      <c r="L23" s="61">
        <v>0</v>
      </c>
    </row>
    <row r="24" spans="1:12" x14ac:dyDescent="0.25">
      <c r="A24" s="59" t="s">
        <v>54</v>
      </c>
      <c r="B24" s="59" t="s">
        <v>88</v>
      </c>
      <c r="C24" s="59" t="s">
        <v>63</v>
      </c>
      <c r="D24" s="60">
        <v>62868.84</v>
      </c>
      <c r="E24" s="60">
        <v>20432.373</v>
      </c>
      <c r="F24" s="61">
        <v>0.32500000000000001</v>
      </c>
      <c r="G24" s="60">
        <v>18860.651999999998</v>
      </c>
      <c r="H24" s="61">
        <v>0.3</v>
      </c>
      <c r="I24" s="60">
        <v>14145.489</v>
      </c>
      <c r="J24" s="61">
        <v>0.22500000000000001</v>
      </c>
      <c r="K24" s="60">
        <v>0</v>
      </c>
      <c r="L24" s="61">
        <v>0</v>
      </c>
    </row>
    <row r="25" spans="1:12" x14ac:dyDescent="0.25">
      <c r="A25" s="59" t="s">
        <v>54</v>
      </c>
      <c r="B25" s="59" t="s">
        <v>91</v>
      </c>
      <c r="C25" s="59" t="s">
        <v>63</v>
      </c>
      <c r="D25" s="60">
        <v>76828.36</v>
      </c>
      <c r="E25" s="60">
        <v>0</v>
      </c>
      <c r="F25" s="61">
        <v>0</v>
      </c>
      <c r="G25" s="60">
        <v>0</v>
      </c>
      <c r="H25" s="61">
        <v>0</v>
      </c>
      <c r="I25" s="60">
        <v>0</v>
      </c>
      <c r="J25" s="61">
        <v>0</v>
      </c>
      <c r="K25" s="60">
        <v>0</v>
      </c>
      <c r="L25" s="61">
        <v>0</v>
      </c>
    </row>
    <row r="26" spans="1:12" x14ac:dyDescent="0.25">
      <c r="A26" s="59" t="s">
        <v>27</v>
      </c>
      <c r="B26" s="59" t="s">
        <v>28</v>
      </c>
      <c r="C26" s="59" t="s">
        <v>30</v>
      </c>
      <c r="D26" s="60">
        <v>166217.75</v>
      </c>
      <c r="E26" s="60">
        <v>166217.75</v>
      </c>
      <c r="F26" s="61">
        <v>1</v>
      </c>
      <c r="G26" s="60">
        <v>166217.75</v>
      </c>
      <c r="H26" s="61">
        <v>1</v>
      </c>
      <c r="I26" s="60">
        <v>166217.75</v>
      </c>
      <c r="J26" s="61">
        <v>1</v>
      </c>
      <c r="K26" s="60">
        <v>0</v>
      </c>
      <c r="L26" s="61">
        <v>0</v>
      </c>
    </row>
    <row r="27" spans="1:12" ht="45" x14ac:dyDescent="0.25">
      <c r="A27" s="59" t="s">
        <v>27</v>
      </c>
      <c r="B27" s="59" t="s">
        <v>96</v>
      </c>
      <c r="C27" s="59" t="s">
        <v>32</v>
      </c>
      <c r="D27" s="60">
        <v>10000</v>
      </c>
      <c r="E27" s="60">
        <v>10000</v>
      </c>
      <c r="F27" s="61">
        <v>1</v>
      </c>
      <c r="G27" s="60">
        <v>10000</v>
      </c>
      <c r="H27" s="61">
        <v>1</v>
      </c>
      <c r="I27" s="60">
        <v>10000</v>
      </c>
      <c r="J27" s="61">
        <v>1</v>
      </c>
      <c r="K27" s="62"/>
      <c r="L27" s="62"/>
    </row>
    <row r="28" spans="1:12" x14ac:dyDescent="0.25">
      <c r="A28" s="59" t="s">
        <v>27</v>
      </c>
      <c r="B28" s="59" t="s">
        <v>31</v>
      </c>
      <c r="C28" s="59" t="s">
        <v>33</v>
      </c>
      <c r="D28" s="60">
        <v>105523.13032</v>
      </c>
      <c r="E28" s="60">
        <v>105523.13032</v>
      </c>
      <c r="F28" s="61">
        <v>1</v>
      </c>
      <c r="G28" s="60">
        <v>105523.13032</v>
      </c>
      <c r="H28" s="61">
        <v>1</v>
      </c>
      <c r="I28" s="60">
        <v>105523.13032</v>
      </c>
      <c r="J28" s="61">
        <v>1</v>
      </c>
      <c r="K28" s="60">
        <v>0</v>
      </c>
      <c r="L28" s="61">
        <v>0</v>
      </c>
    </row>
    <row r="29" spans="1:12" ht="45" x14ac:dyDescent="0.25">
      <c r="A29" s="59" t="s">
        <v>27</v>
      </c>
      <c r="B29" s="59" t="s">
        <v>97</v>
      </c>
      <c r="C29" s="59" t="s">
        <v>35</v>
      </c>
      <c r="D29" s="60">
        <v>8130</v>
      </c>
      <c r="E29" s="60">
        <v>8130</v>
      </c>
      <c r="F29" s="61">
        <v>1</v>
      </c>
      <c r="G29" s="60">
        <v>8130</v>
      </c>
      <c r="H29" s="61">
        <v>1</v>
      </c>
      <c r="I29" s="60">
        <v>8130</v>
      </c>
      <c r="J29" s="61">
        <v>1</v>
      </c>
      <c r="K29" s="62"/>
      <c r="L29" s="62"/>
    </row>
    <row r="30" spans="1:12" x14ac:dyDescent="0.25">
      <c r="A30" s="59" t="s">
        <v>27</v>
      </c>
      <c r="B30" s="59" t="s">
        <v>34</v>
      </c>
      <c r="C30" s="59" t="s">
        <v>36</v>
      </c>
      <c r="D30" s="60">
        <v>23734.43</v>
      </c>
      <c r="E30" s="60">
        <v>23734.43</v>
      </c>
      <c r="F30" s="61">
        <v>1</v>
      </c>
      <c r="G30" s="60">
        <v>23734.43</v>
      </c>
      <c r="H30" s="61">
        <v>1</v>
      </c>
      <c r="I30" s="60">
        <v>23734.43</v>
      </c>
      <c r="J30" s="61">
        <v>1</v>
      </c>
      <c r="K30" s="60">
        <v>23734.43</v>
      </c>
      <c r="L30" s="61">
        <v>1</v>
      </c>
    </row>
    <row r="31" spans="1:12" x14ac:dyDescent="0.25">
      <c r="A31" s="59" t="s">
        <v>27</v>
      </c>
      <c r="B31" s="59" t="s">
        <v>95</v>
      </c>
      <c r="C31" s="59" t="s">
        <v>29</v>
      </c>
      <c r="D31" s="60">
        <v>38873.682999999997</v>
      </c>
      <c r="E31" s="60">
        <v>38873.682999999997</v>
      </c>
      <c r="F31" s="61">
        <v>1</v>
      </c>
      <c r="G31" s="60">
        <v>38873.682999999997</v>
      </c>
      <c r="H31" s="61">
        <v>1</v>
      </c>
      <c r="I31" s="60">
        <v>38873.682999999997</v>
      </c>
      <c r="J31" s="61">
        <v>1</v>
      </c>
      <c r="K31" s="62"/>
      <c r="L31" s="62"/>
    </row>
    <row r="32" spans="1:12" x14ac:dyDescent="0.25">
      <c r="A32" s="59" t="s">
        <v>37</v>
      </c>
      <c r="B32" s="59" t="s">
        <v>38</v>
      </c>
      <c r="C32" s="59" t="s">
        <v>30</v>
      </c>
      <c r="D32" s="60">
        <v>176865.63999999998</v>
      </c>
      <c r="E32" s="60">
        <v>176865.63999999998</v>
      </c>
      <c r="F32" s="61">
        <v>1</v>
      </c>
      <c r="G32" s="60">
        <v>176865.63999999998</v>
      </c>
      <c r="H32" s="61">
        <v>1</v>
      </c>
      <c r="I32" s="60">
        <v>176865.63999999998</v>
      </c>
      <c r="J32" s="61">
        <v>1</v>
      </c>
      <c r="K32" s="60">
        <v>0</v>
      </c>
      <c r="L32" s="61">
        <v>0</v>
      </c>
    </row>
    <row r="33" spans="1:12" ht="45" x14ac:dyDescent="0.25">
      <c r="A33" s="59" t="s">
        <v>37</v>
      </c>
      <c r="B33" s="59" t="s">
        <v>98</v>
      </c>
      <c r="C33" s="59" t="s">
        <v>40</v>
      </c>
      <c r="D33" s="60">
        <v>28853.47</v>
      </c>
      <c r="E33" s="60">
        <v>28853.47</v>
      </c>
      <c r="F33" s="61">
        <v>1</v>
      </c>
      <c r="G33" s="60">
        <v>28853.47</v>
      </c>
      <c r="H33" s="61">
        <v>1</v>
      </c>
      <c r="I33" s="60">
        <v>28853.47</v>
      </c>
      <c r="J33" s="61">
        <v>1</v>
      </c>
      <c r="K33" s="62"/>
      <c r="L33" s="62"/>
    </row>
    <row r="34" spans="1:12" x14ac:dyDescent="0.25">
      <c r="A34" s="59" t="s">
        <v>37</v>
      </c>
      <c r="B34" s="59" t="s">
        <v>39</v>
      </c>
      <c r="C34" s="59" t="s">
        <v>41</v>
      </c>
      <c r="D34" s="60">
        <v>48011.730000000018</v>
      </c>
      <c r="E34" s="60">
        <v>48011.730000000018</v>
      </c>
      <c r="F34" s="61">
        <v>1</v>
      </c>
      <c r="G34" s="60">
        <v>48011.730000000018</v>
      </c>
      <c r="H34" s="61">
        <v>1</v>
      </c>
      <c r="I34" s="60">
        <v>48011.730000000018</v>
      </c>
      <c r="J34" s="61">
        <v>1</v>
      </c>
      <c r="K34" s="60">
        <v>0</v>
      </c>
      <c r="L34" s="61">
        <v>0</v>
      </c>
    </row>
    <row r="35" spans="1:12" x14ac:dyDescent="0.25">
      <c r="A35" s="59" t="s">
        <v>48</v>
      </c>
      <c r="B35" s="59" t="s">
        <v>50</v>
      </c>
      <c r="C35" s="59" t="s">
        <v>30</v>
      </c>
      <c r="D35" s="60">
        <v>161909.82999999999</v>
      </c>
      <c r="E35" s="60">
        <v>161909.82999999999</v>
      </c>
      <c r="F35" s="61">
        <v>1</v>
      </c>
      <c r="G35" s="60">
        <v>161909.82999999999</v>
      </c>
      <c r="H35" s="61">
        <v>1</v>
      </c>
      <c r="I35" s="60">
        <v>161909.82999999999</v>
      </c>
      <c r="J35" s="61">
        <v>1</v>
      </c>
      <c r="K35" s="60">
        <v>0</v>
      </c>
      <c r="L35" s="61">
        <v>0</v>
      </c>
    </row>
    <row r="36" spans="1:12" ht="45" x14ac:dyDescent="0.25">
      <c r="A36" s="59" t="s">
        <v>48</v>
      </c>
      <c r="B36" s="59" t="s">
        <v>99</v>
      </c>
      <c r="C36" s="59" t="s">
        <v>40</v>
      </c>
      <c r="D36" s="60">
        <v>36020.75</v>
      </c>
      <c r="E36" s="60">
        <v>36020.75</v>
      </c>
      <c r="F36" s="61">
        <v>1</v>
      </c>
      <c r="G36" s="60">
        <v>36020.75</v>
      </c>
      <c r="H36" s="61">
        <v>1</v>
      </c>
      <c r="I36" s="60">
        <v>36020.75</v>
      </c>
      <c r="J36" s="61">
        <v>1</v>
      </c>
      <c r="K36" s="62"/>
      <c r="L36" s="62"/>
    </row>
    <row r="37" spans="1:12" x14ac:dyDescent="0.25">
      <c r="A37" s="59" t="s">
        <v>48</v>
      </c>
      <c r="B37" s="59" t="s">
        <v>49</v>
      </c>
      <c r="C37" s="59" t="s">
        <v>41</v>
      </c>
      <c r="D37" s="60">
        <v>161909.82999999999</v>
      </c>
      <c r="E37" s="60">
        <v>161909.82999999999</v>
      </c>
      <c r="F37" s="61">
        <v>1</v>
      </c>
      <c r="G37" s="60">
        <v>161909.82999999999</v>
      </c>
      <c r="H37" s="61">
        <v>1</v>
      </c>
      <c r="I37" s="60">
        <v>161909.82999999999</v>
      </c>
      <c r="J37" s="61">
        <v>1</v>
      </c>
      <c r="K37" s="60">
        <v>0</v>
      </c>
      <c r="L37" s="61">
        <v>0</v>
      </c>
    </row>
    <row r="38" spans="1:12" x14ac:dyDescent="0.25">
      <c r="A38" s="59" t="s">
        <v>48</v>
      </c>
      <c r="B38" s="59" t="s">
        <v>53</v>
      </c>
      <c r="C38" s="59" t="s">
        <v>30</v>
      </c>
      <c r="D38" s="60">
        <v>38583.480000000003</v>
      </c>
      <c r="E38" s="60">
        <v>38583.480000000003</v>
      </c>
      <c r="F38" s="61">
        <v>1</v>
      </c>
      <c r="G38" s="60">
        <v>38583.480000000003</v>
      </c>
      <c r="H38" s="61">
        <v>1</v>
      </c>
      <c r="I38" s="60">
        <v>38583.480000000003</v>
      </c>
      <c r="J38" s="61">
        <v>1</v>
      </c>
      <c r="K38" s="60">
        <v>350.74984454545466</v>
      </c>
      <c r="L38" s="61">
        <v>9.0906741575787001E-3</v>
      </c>
    </row>
    <row r="39" spans="1:12" x14ac:dyDescent="0.25">
      <c r="A39" s="59" t="s">
        <v>42</v>
      </c>
      <c r="B39" s="59" t="s">
        <v>43</v>
      </c>
      <c r="C39" s="59" t="s">
        <v>30</v>
      </c>
      <c r="D39" s="60">
        <v>117331.46</v>
      </c>
      <c r="E39" s="60">
        <v>117331.46</v>
      </c>
      <c r="F39" s="61">
        <v>1</v>
      </c>
      <c r="G39" s="60">
        <v>117331.46</v>
      </c>
      <c r="H39" s="61">
        <v>1</v>
      </c>
      <c r="I39" s="60">
        <v>117331.46</v>
      </c>
      <c r="J39" s="61">
        <v>1</v>
      </c>
      <c r="K39" s="60">
        <v>117331.46</v>
      </c>
      <c r="L39" s="61">
        <v>1</v>
      </c>
    </row>
    <row r="40" spans="1:12" ht="45" x14ac:dyDescent="0.25">
      <c r="A40" s="59" t="s">
        <v>42</v>
      </c>
      <c r="B40" s="59" t="s">
        <v>100</v>
      </c>
      <c r="C40" s="59" t="s">
        <v>40</v>
      </c>
      <c r="D40" s="60">
        <v>32085.040000000001</v>
      </c>
      <c r="E40" s="60">
        <v>32085.040000000001</v>
      </c>
      <c r="F40" s="61">
        <v>1</v>
      </c>
      <c r="G40" s="60">
        <v>32085.040000000001</v>
      </c>
      <c r="H40" s="61">
        <v>1</v>
      </c>
      <c r="I40" s="60">
        <v>32085.040000000001</v>
      </c>
      <c r="J40" s="61">
        <v>1</v>
      </c>
      <c r="K40" s="62"/>
      <c r="L40" s="62"/>
    </row>
    <row r="41" spans="1:12" x14ac:dyDescent="0.25">
      <c r="A41" s="59" t="s">
        <v>42</v>
      </c>
      <c r="B41" s="59" t="s">
        <v>44</v>
      </c>
      <c r="C41" s="59" t="s">
        <v>41</v>
      </c>
      <c r="D41" s="60">
        <v>52880.41</v>
      </c>
      <c r="E41" s="60">
        <v>52880.41</v>
      </c>
      <c r="F41" s="61">
        <v>1</v>
      </c>
      <c r="G41" s="60">
        <v>52880.41</v>
      </c>
      <c r="H41" s="61">
        <v>1</v>
      </c>
      <c r="I41" s="60">
        <v>52880.41</v>
      </c>
      <c r="J41" s="61">
        <v>1</v>
      </c>
      <c r="K41" s="60">
        <v>0</v>
      </c>
      <c r="L41" s="61">
        <v>0</v>
      </c>
    </row>
    <row r="42" spans="1:12" x14ac:dyDescent="0.25">
      <c r="A42" s="59" t="s">
        <v>42</v>
      </c>
      <c r="B42" s="59" t="s">
        <v>45</v>
      </c>
      <c r="C42" s="59" t="s">
        <v>46</v>
      </c>
      <c r="D42" s="60">
        <v>45121.45</v>
      </c>
      <c r="E42" s="60">
        <v>45121.45</v>
      </c>
      <c r="F42" s="61">
        <v>1</v>
      </c>
      <c r="G42" s="60">
        <v>45121.45</v>
      </c>
      <c r="H42" s="61">
        <v>1</v>
      </c>
      <c r="I42" s="60">
        <v>45121.45</v>
      </c>
      <c r="J42" s="61">
        <v>1</v>
      </c>
      <c r="K42" s="60">
        <v>45121.45</v>
      </c>
      <c r="L42" s="61">
        <v>1</v>
      </c>
    </row>
    <row r="43" spans="1:12" x14ac:dyDescent="0.25">
      <c r="A43" s="59" t="s">
        <v>42</v>
      </c>
      <c r="B43" s="59" t="s">
        <v>92</v>
      </c>
      <c r="C43" s="59" t="s">
        <v>30</v>
      </c>
      <c r="D43" s="60">
        <v>23707.337294800007</v>
      </c>
      <c r="E43" s="60">
        <v>23707.337294800007</v>
      </c>
      <c r="F43" s="61">
        <v>1</v>
      </c>
      <c r="G43" s="60">
        <v>23707.337294800007</v>
      </c>
      <c r="H43" s="61">
        <v>1</v>
      </c>
      <c r="I43" s="60">
        <v>23707.337294800007</v>
      </c>
      <c r="J43" s="61">
        <v>1</v>
      </c>
      <c r="K43" s="60">
        <v>0</v>
      </c>
      <c r="L43" s="61">
        <v>0</v>
      </c>
    </row>
    <row r="44" spans="1:12" x14ac:dyDescent="0.25">
      <c r="A44" s="59" t="s">
        <v>128</v>
      </c>
      <c r="B44" s="59" t="s">
        <v>128</v>
      </c>
      <c r="C44" s="59" t="s">
        <v>30</v>
      </c>
      <c r="D44" s="60">
        <v>733.58</v>
      </c>
      <c r="E44" s="60">
        <v>0</v>
      </c>
      <c r="F44" s="61">
        <v>0</v>
      </c>
      <c r="G44" s="60">
        <v>0</v>
      </c>
      <c r="H44" s="61">
        <v>0</v>
      </c>
      <c r="I44" s="60">
        <v>0</v>
      </c>
      <c r="J44" s="61">
        <v>0</v>
      </c>
      <c r="K44" s="62"/>
      <c r="L44" s="62"/>
    </row>
    <row r="45" spans="1:12" x14ac:dyDescent="0.25">
      <c r="A45" s="59" t="s">
        <v>47</v>
      </c>
      <c r="B45" s="59" t="s">
        <v>47</v>
      </c>
      <c r="C45" s="59" t="s">
        <v>30</v>
      </c>
      <c r="D45" s="60">
        <v>231366.76</v>
      </c>
      <c r="E45" s="60">
        <v>231366.76</v>
      </c>
      <c r="F45" s="61">
        <v>1</v>
      </c>
      <c r="G45" s="60">
        <v>231366.76</v>
      </c>
      <c r="H45" s="61">
        <v>1</v>
      </c>
      <c r="I45" s="60">
        <v>231366.76</v>
      </c>
      <c r="J45" s="61">
        <v>1</v>
      </c>
      <c r="K45" s="60">
        <v>197529.26080194977</v>
      </c>
      <c r="L45" s="61">
        <v>0.85374952219562461</v>
      </c>
    </row>
    <row r="46" spans="1:12" x14ac:dyDescent="0.25">
      <c r="A46" s="59" t="s">
        <v>51</v>
      </c>
      <c r="B46" s="59" t="s">
        <v>73</v>
      </c>
      <c r="C46" s="59" t="s">
        <v>30</v>
      </c>
      <c r="D46" s="60">
        <v>37063.279999999999</v>
      </c>
      <c r="E46" s="60">
        <v>37063.279999999999</v>
      </c>
      <c r="F46" s="61">
        <v>1</v>
      </c>
      <c r="G46" s="60">
        <v>37063.279999999999</v>
      </c>
      <c r="H46" s="61">
        <v>1</v>
      </c>
      <c r="I46" s="60">
        <v>32430.37</v>
      </c>
      <c r="J46" s="61">
        <v>0.875</v>
      </c>
      <c r="K46" s="60">
        <v>0</v>
      </c>
      <c r="L46" s="61">
        <v>0</v>
      </c>
    </row>
    <row r="47" spans="1:12" x14ac:dyDescent="0.25">
      <c r="A47" s="59" t="s">
        <v>51</v>
      </c>
      <c r="B47" s="59" t="s">
        <v>73</v>
      </c>
      <c r="C47" s="59" t="s">
        <v>46</v>
      </c>
      <c r="D47" s="60">
        <v>37063.279999999999</v>
      </c>
      <c r="E47" s="60">
        <v>28826.995555555553</v>
      </c>
      <c r="F47" s="61">
        <v>0.77777777777777779</v>
      </c>
      <c r="G47" s="60">
        <v>28826.995555555553</v>
      </c>
      <c r="H47" s="61">
        <v>0.77777777777777779</v>
      </c>
      <c r="I47" s="60">
        <v>26767.924444444445</v>
      </c>
      <c r="J47" s="61">
        <v>0.72222222222222221</v>
      </c>
      <c r="K47" s="60">
        <v>0</v>
      </c>
      <c r="L47" s="61">
        <v>0</v>
      </c>
    </row>
    <row r="48" spans="1:12" x14ac:dyDescent="0.25">
      <c r="A48" s="59" t="s">
        <v>51</v>
      </c>
      <c r="B48" s="59" t="s">
        <v>73</v>
      </c>
      <c r="C48" s="59" t="s">
        <v>74</v>
      </c>
      <c r="D48" s="60">
        <v>37063.279999999999</v>
      </c>
      <c r="E48" s="60">
        <v>37063.279999999999</v>
      </c>
      <c r="F48" s="61">
        <v>1</v>
      </c>
      <c r="G48" s="60">
        <v>37063.279999999999</v>
      </c>
      <c r="H48" s="61">
        <v>1</v>
      </c>
      <c r="I48" s="60">
        <v>0</v>
      </c>
      <c r="J48" s="61">
        <v>0</v>
      </c>
      <c r="K48" s="60">
        <v>0</v>
      </c>
      <c r="L48" s="61">
        <v>0</v>
      </c>
    </row>
    <row r="49" spans="1:12" x14ac:dyDescent="0.25">
      <c r="A49" s="59" t="s">
        <v>51</v>
      </c>
      <c r="B49" s="59" t="s">
        <v>72</v>
      </c>
      <c r="C49" s="59" t="s">
        <v>46</v>
      </c>
      <c r="D49" s="60">
        <v>112594.34</v>
      </c>
      <c r="E49" s="60">
        <v>112594.34</v>
      </c>
      <c r="F49" s="61">
        <v>1</v>
      </c>
      <c r="G49" s="60">
        <v>112594.34</v>
      </c>
      <c r="H49" s="61">
        <v>1</v>
      </c>
      <c r="I49" s="60">
        <v>112594.34</v>
      </c>
      <c r="J49" s="61">
        <v>1</v>
      </c>
      <c r="K49" s="60">
        <v>0</v>
      </c>
      <c r="L49" s="61">
        <v>0</v>
      </c>
    </row>
    <row r="50" spans="1:12" x14ac:dyDescent="0.25">
      <c r="A50" s="59" t="s">
        <v>51</v>
      </c>
      <c r="B50" s="59" t="s">
        <v>69</v>
      </c>
      <c r="C50" s="59" t="s">
        <v>70</v>
      </c>
      <c r="D50" s="60">
        <v>103605.23999999983</v>
      </c>
      <c r="E50" s="60">
        <v>103605.23999999983</v>
      </c>
      <c r="F50" s="61">
        <v>1</v>
      </c>
      <c r="G50" s="60">
        <v>103605.23999999983</v>
      </c>
      <c r="H50" s="61">
        <v>1</v>
      </c>
      <c r="I50" s="60">
        <v>103605.23999999983</v>
      </c>
      <c r="J50" s="61">
        <v>1</v>
      </c>
      <c r="K50" s="60">
        <v>0</v>
      </c>
      <c r="L50" s="61">
        <v>0</v>
      </c>
    </row>
    <row r="51" spans="1:12" x14ac:dyDescent="0.25">
      <c r="A51" s="59" t="s">
        <v>51</v>
      </c>
      <c r="B51" s="59" t="s">
        <v>68</v>
      </c>
      <c r="C51" s="59" t="s">
        <v>30</v>
      </c>
      <c r="D51" s="60">
        <v>91700.06</v>
      </c>
      <c r="E51" s="60">
        <v>91700.06</v>
      </c>
      <c r="F51" s="61">
        <v>1</v>
      </c>
      <c r="G51" s="60">
        <v>91700.06</v>
      </c>
      <c r="H51" s="61">
        <v>1</v>
      </c>
      <c r="I51" s="60">
        <v>91700.06</v>
      </c>
      <c r="J51" s="61">
        <v>1</v>
      </c>
      <c r="K51" s="60">
        <v>9324.4140034894335</v>
      </c>
      <c r="L51" s="61">
        <v>0.10168383754044909</v>
      </c>
    </row>
    <row r="52" spans="1:12" x14ac:dyDescent="0.25">
      <c r="A52" s="59" t="s">
        <v>51</v>
      </c>
      <c r="B52" s="59" t="s">
        <v>68</v>
      </c>
      <c r="C52" s="59" t="s">
        <v>61</v>
      </c>
      <c r="D52" s="60">
        <v>3911.9090000000001</v>
      </c>
      <c r="E52" s="60">
        <v>3911.9090000000001</v>
      </c>
      <c r="F52" s="61">
        <v>1</v>
      </c>
      <c r="G52" s="60">
        <v>3911.9090000000001</v>
      </c>
      <c r="H52" s="61">
        <v>1</v>
      </c>
      <c r="I52" s="60">
        <v>3911.9090000000001</v>
      </c>
      <c r="J52" s="61">
        <v>1</v>
      </c>
      <c r="K52" s="60">
        <v>348.38469903147336</v>
      </c>
      <c r="L52" s="61">
        <v>8.9057465046214868E-2</v>
      </c>
    </row>
    <row r="53" spans="1:12" x14ac:dyDescent="0.25">
      <c r="A53" s="59" t="s">
        <v>51</v>
      </c>
      <c r="B53" s="59" t="s">
        <v>68</v>
      </c>
      <c r="C53" s="59" t="s">
        <v>46</v>
      </c>
      <c r="D53" s="60">
        <v>313.09100000000001</v>
      </c>
      <c r="E53" s="60">
        <v>313.09100000000001</v>
      </c>
      <c r="F53" s="61">
        <v>1</v>
      </c>
      <c r="G53" s="60">
        <v>313.09100000000001</v>
      </c>
      <c r="H53" s="61">
        <v>1</v>
      </c>
      <c r="I53" s="60">
        <v>313.09100000000001</v>
      </c>
      <c r="J53" s="61">
        <v>1</v>
      </c>
      <c r="K53" s="60">
        <v>313.09082429299076</v>
      </c>
      <c r="L53" s="61">
        <v>0.99999943879891395</v>
      </c>
    </row>
    <row r="54" spans="1:12" x14ac:dyDescent="0.25">
      <c r="A54" s="59" t="s">
        <v>51</v>
      </c>
      <c r="B54" s="59" t="s">
        <v>60</v>
      </c>
      <c r="C54" s="59" t="s">
        <v>30</v>
      </c>
      <c r="D54" s="60">
        <v>90800.14</v>
      </c>
      <c r="E54" s="60">
        <v>90800.14</v>
      </c>
      <c r="F54" s="61">
        <v>1</v>
      </c>
      <c r="G54" s="60">
        <v>90800.14</v>
      </c>
      <c r="H54" s="61">
        <v>1</v>
      </c>
      <c r="I54" s="60">
        <v>90800.14</v>
      </c>
      <c r="J54" s="61">
        <v>1</v>
      </c>
      <c r="K54" s="60">
        <v>10153.047824795449</v>
      </c>
      <c r="L54" s="61">
        <v>0.11181753491564494</v>
      </c>
    </row>
    <row r="55" spans="1:12" x14ac:dyDescent="0.25">
      <c r="A55" s="59" t="s">
        <v>51</v>
      </c>
      <c r="B55" s="59" t="s">
        <v>60</v>
      </c>
      <c r="C55" s="59" t="s">
        <v>61</v>
      </c>
      <c r="D55" s="60">
        <v>3099.45</v>
      </c>
      <c r="E55" s="60">
        <v>3099.45</v>
      </c>
      <c r="F55" s="61">
        <v>1</v>
      </c>
      <c r="G55" s="60">
        <v>3099.45</v>
      </c>
      <c r="H55" s="61">
        <v>1</v>
      </c>
      <c r="I55" s="60">
        <v>3099.45</v>
      </c>
      <c r="J55" s="61">
        <v>1</v>
      </c>
      <c r="K55" s="60">
        <v>316.12053666945536</v>
      </c>
      <c r="L55" s="61">
        <v>0.10199246210439122</v>
      </c>
    </row>
    <row r="56" spans="1:12" x14ac:dyDescent="0.25">
      <c r="A56" s="59" t="s">
        <v>51</v>
      </c>
      <c r="B56" s="59" t="s">
        <v>60</v>
      </c>
      <c r="C56" s="59" t="s">
        <v>46</v>
      </c>
      <c r="D56" s="60">
        <v>1909.55</v>
      </c>
      <c r="E56" s="60">
        <v>1909.55</v>
      </c>
      <c r="F56" s="61">
        <v>1</v>
      </c>
      <c r="G56" s="60">
        <v>1909.55</v>
      </c>
      <c r="H56" s="61">
        <v>1</v>
      </c>
      <c r="I56" s="60">
        <v>1909.55</v>
      </c>
      <c r="J56" s="61">
        <v>1</v>
      </c>
      <c r="K56" s="60">
        <v>1909.55</v>
      </c>
      <c r="L56" s="61">
        <v>1</v>
      </c>
    </row>
    <row r="57" spans="1:12" x14ac:dyDescent="0.25">
      <c r="A57" s="59" t="s">
        <v>51</v>
      </c>
      <c r="B57" s="59" t="s">
        <v>57</v>
      </c>
      <c r="C57" s="59" t="s">
        <v>30</v>
      </c>
      <c r="D57" s="60">
        <v>95330.38</v>
      </c>
      <c r="E57" s="60">
        <v>95330.38</v>
      </c>
      <c r="F57" s="61">
        <v>1</v>
      </c>
      <c r="G57" s="60">
        <v>95330.38</v>
      </c>
      <c r="H57" s="61">
        <v>1</v>
      </c>
      <c r="I57" s="60">
        <v>95330.38</v>
      </c>
      <c r="J57" s="61">
        <v>1</v>
      </c>
      <c r="K57" s="60">
        <v>10725.196913819915</v>
      </c>
      <c r="L57" s="61">
        <v>0.11250555084139929</v>
      </c>
    </row>
    <row r="58" spans="1:12" x14ac:dyDescent="0.25">
      <c r="A58" s="59" t="s">
        <v>51</v>
      </c>
      <c r="B58" s="59" t="s">
        <v>55</v>
      </c>
      <c r="C58" s="59" t="s">
        <v>30</v>
      </c>
      <c r="D58" s="60">
        <v>120097.08</v>
      </c>
      <c r="E58" s="60">
        <v>120097.08</v>
      </c>
      <c r="F58" s="61">
        <v>1</v>
      </c>
      <c r="G58" s="60">
        <v>120097.08</v>
      </c>
      <c r="H58" s="61">
        <v>1</v>
      </c>
      <c r="I58" s="60">
        <v>120097.08</v>
      </c>
      <c r="J58" s="61">
        <v>1</v>
      </c>
      <c r="K58" s="60">
        <v>0</v>
      </c>
      <c r="L58" s="61">
        <v>0</v>
      </c>
    </row>
    <row r="59" spans="1:12" x14ac:dyDescent="0.25">
      <c r="A59" s="59" t="s">
        <v>51</v>
      </c>
      <c r="B59" s="59" t="s">
        <v>55</v>
      </c>
      <c r="C59" s="59" t="s">
        <v>56</v>
      </c>
      <c r="D59" s="60">
        <v>377.43</v>
      </c>
      <c r="E59" s="60">
        <v>377.43</v>
      </c>
      <c r="F59" s="61">
        <v>1</v>
      </c>
      <c r="G59" s="60">
        <v>377.43</v>
      </c>
      <c r="H59" s="61">
        <v>1</v>
      </c>
      <c r="I59" s="60">
        <v>377.43</v>
      </c>
      <c r="J59" s="61">
        <v>1</v>
      </c>
      <c r="K59" s="60">
        <v>0</v>
      </c>
      <c r="L59" s="61">
        <v>0</v>
      </c>
    </row>
    <row r="60" spans="1:12" x14ac:dyDescent="0.25">
      <c r="A60" s="59" t="s">
        <v>51</v>
      </c>
      <c r="B60" s="59" t="s">
        <v>55</v>
      </c>
      <c r="C60" s="59" t="s">
        <v>46</v>
      </c>
      <c r="D60" s="60">
        <v>14276.64</v>
      </c>
      <c r="E60" s="60">
        <v>14276.64</v>
      </c>
      <c r="F60" s="61">
        <v>1</v>
      </c>
      <c r="G60" s="60">
        <v>14276.64</v>
      </c>
      <c r="H60" s="61">
        <v>1</v>
      </c>
      <c r="I60" s="60">
        <v>14276.64</v>
      </c>
      <c r="J60" s="61">
        <v>1</v>
      </c>
      <c r="K60" s="60">
        <v>0</v>
      </c>
      <c r="L60" s="61">
        <v>0</v>
      </c>
    </row>
    <row r="61" spans="1:12" x14ac:dyDescent="0.25">
      <c r="A61" s="59" t="s">
        <v>51</v>
      </c>
      <c r="B61" s="59" t="s">
        <v>52</v>
      </c>
      <c r="C61" s="59" t="s">
        <v>30</v>
      </c>
      <c r="D61" s="60">
        <v>68960.590000000026</v>
      </c>
      <c r="E61" s="60">
        <v>68960.590000000026</v>
      </c>
      <c r="F61" s="61">
        <v>1</v>
      </c>
      <c r="G61" s="60">
        <v>68960.590000000026</v>
      </c>
      <c r="H61" s="61">
        <v>1</v>
      </c>
      <c r="I61" s="60">
        <v>68960.590000000026</v>
      </c>
      <c r="J61" s="61">
        <v>1</v>
      </c>
      <c r="K61" s="60">
        <v>10984.872743362903</v>
      </c>
      <c r="L61" s="61">
        <v>0.15929203539823106</v>
      </c>
    </row>
    <row r="62" spans="1:12" ht="30" x14ac:dyDescent="0.25">
      <c r="A62" s="61" t="s">
        <v>114</v>
      </c>
      <c r="B62" s="61" t="s">
        <v>114</v>
      </c>
      <c r="C62" s="61" t="s">
        <v>114</v>
      </c>
      <c r="D62" s="61" t="s">
        <v>136</v>
      </c>
      <c r="E62" s="61" t="s">
        <v>137</v>
      </c>
      <c r="F62" s="61" t="s">
        <v>114</v>
      </c>
      <c r="G62" s="61" t="s">
        <v>138</v>
      </c>
      <c r="H62" s="61" t="s">
        <v>114</v>
      </c>
      <c r="I62" s="61" t="s">
        <v>139</v>
      </c>
      <c r="J62" s="61" t="s">
        <v>114</v>
      </c>
      <c r="K62" s="61" t="s">
        <v>115</v>
      </c>
      <c r="L62" s="61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61"/>
  <sheetViews>
    <sheetView topLeftCell="A30" workbookViewId="0">
      <selection activeCell="A2" sqref="A2:L61"/>
    </sheetView>
  </sheetViews>
  <sheetFormatPr defaultRowHeight="15" x14ac:dyDescent="0.25"/>
  <sheetData>
    <row r="1" spans="1:12" x14ac:dyDescent="0.25">
      <c r="A1" s="53" t="s">
        <v>102</v>
      </c>
      <c r="B1" s="53" t="s">
        <v>103</v>
      </c>
      <c r="C1" s="53" t="s">
        <v>104</v>
      </c>
      <c r="D1" s="53" t="s">
        <v>105</v>
      </c>
      <c r="E1" s="53" t="s">
        <v>106</v>
      </c>
      <c r="F1" s="53" t="s">
        <v>107</v>
      </c>
      <c r="G1" s="53" t="s">
        <v>108</v>
      </c>
      <c r="H1" s="53" t="s">
        <v>109</v>
      </c>
      <c r="I1" s="53" t="s">
        <v>110</v>
      </c>
      <c r="J1" s="53" t="s">
        <v>111</v>
      </c>
      <c r="K1" s="53" t="s">
        <v>112</v>
      </c>
      <c r="L1" s="53" t="s">
        <v>113</v>
      </c>
    </row>
    <row r="2" spans="1:12" x14ac:dyDescent="0.25">
      <c r="A2" s="54" t="s">
        <v>54</v>
      </c>
      <c r="B2" s="54" t="s">
        <v>82</v>
      </c>
      <c r="C2" s="54" t="s">
        <v>83</v>
      </c>
      <c r="D2" s="55">
        <v>61696.523999999998</v>
      </c>
      <c r="E2" s="55">
        <v>61696.523999999998</v>
      </c>
      <c r="F2" s="56">
        <v>1</v>
      </c>
      <c r="G2" s="55">
        <v>61696.523999999998</v>
      </c>
      <c r="H2" s="56">
        <v>1</v>
      </c>
      <c r="I2" s="55">
        <v>61696.523999999998</v>
      </c>
      <c r="J2" s="56">
        <v>1</v>
      </c>
      <c r="K2" s="55">
        <v>0</v>
      </c>
      <c r="L2" s="56">
        <v>0</v>
      </c>
    </row>
    <row r="3" spans="1:12" x14ac:dyDescent="0.25">
      <c r="A3" s="54" t="s">
        <v>54</v>
      </c>
      <c r="B3" s="54" t="s">
        <v>84</v>
      </c>
      <c r="C3" s="54" t="s">
        <v>83</v>
      </c>
      <c r="D3" s="55">
        <v>61512.597399999991</v>
      </c>
      <c r="E3" s="55">
        <v>61512.597399999991</v>
      </c>
      <c r="F3" s="56">
        <v>1</v>
      </c>
      <c r="G3" s="55">
        <v>0</v>
      </c>
      <c r="H3" s="56">
        <v>0</v>
      </c>
      <c r="I3" s="55">
        <v>0</v>
      </c>
      <c r="J3" s="56">
        <v>0</v>
      </c>
      <c r="K3" s="55">
        <v>0</v>
      </c>
      <c r="L3" s="56">
        <v>0</v>
      </c>
    </row>
    <row r="4" spans="1:12" x14ac:dyDescent="0.25">
      <c r="A4" s="54" t="s">
        <v>54</v>
      </c>
      <c r="B4" s="54" t="s">
        <v>94</v>
      </c>
      <c r="C4" s="54" t="s">
        <v>101</v>
      </c>
      <c r="D4" s="55">
        <v>116529.74</v>
      </c>
      <c r="E4" s="55">
        <v>58264.87</v>
      </c>
      <c r="F4" s="56">
        <v>0.5</v>
      </c>
      <c r="G4" s="55">
        <v>34958.921999999999</v>
      </c>
      <c r="H4" s="56">
        <v>0.3</v>
      </c>
      <c r="I4" s="55">
        <v>23305.948000000004</v>
      </c>
      <c r="J4" s="56">
        <v>0.2</v>
      </c>
      <c r="K4" s="55">
        <v>0</v>
      </c>
      <c r="L4" s="56">
        <v>0</v>
      </c>
    </row>
    <row r="5" spans="1:12" x14ac:dyDescent="0.25">
      <c r="A5" s="54" t="s">
        <v>54</v>
      </c>
      <c r="B5" s="54" t="s">
        <v>78</v>
      </c>
      <c r="C5" s="54" t="s">
        <v>59</v>
      </c>
      <c r="D5" s="55">
        <v>3632.6453241000008</v>
      </c>
      <c r="E5" s="55">
        <v>3632.6453241000008</v>
      </c>
      <c r="F5" s="56">
        <v>1</v>
      </c>
      <c r="G5" s="55">
        <v>3632.6453241000008</v>
      </c>
      <c r="H5" s="56">
        <v>1</v>
      </c>
      <c r="I5" s="55">
        <v>3632.6453241000008</v>
      </c>
      <c r="J5" s="56">
        <v>1</v>
      </c>
      <c r="K5" s="55">
        <v>82.560121002272751</v>
      </c>
      <c r="L5" s="56">
        <v>2.2727272727272728E-2</v>
      </c>
    </row>
    <row r="6" spans="1:12" ht="30" x14ac:dyDescent="0.25">
      <c r="A6" s="54" t="s">
        <v>54</v>
      </c>
      <c r="B6" s="54" t="s">
        <v>79</v>
      </c>
      <c r="C6" s="54" t="s">
        <v>59</v>
      </c>
      <c r="D6" s="55">
        <v>66526.931673225015</v>
      </c>
      <c r="E6" s="55">
        <v>66526.931673225015</v>
      </c>
      <c r="F6" s="56">
        <v>1</v>
      </c>
      <c r="G6" s="55">
        <v>66526.931673225015</v>
      </c>
      <c r="H6" s="56">
        <v>1</v>
      </c>
      <c r="I6" s="55">
        <v>66526.931673225015</v>
      </c>
      <c r="J6" s="56">
        <v>1</v>
      </c>
      <c r="K6" s="55">
        <v>0</v>
      </c>
      <c r="L6" s="56">
        <v>0</v>
      </c>
    </row>
    <row r="7" spans="1:12" ht="30" x14ac:dyDescent="0.25">
      <c r="A7" s="54" t="s">
        <v>54</v>
      </c>
      <c r="B7" s="54" t="s">
        <v>80</v>
      </c>
      <c r="C7" s="54" t="s">
        <v>59</v>
      </c>
      <c r="D7" s="55">
        <v>27322.570000000014</v>
      </c>
      <c r="E7" s="55">
        <v>27322.570000000014</v>
      </c>
      <c r="F7" s="56">
        <v>1</v>
      </c>
      <c r="G7" s="55">
        <v>27322.570000000014</v>
      </c>
      <c r="H7" s="56">
        <v>1</v>
      </c>
      <c r="I7" s="55">
        <v>27322.570000000014</v>
      </c>
      <c r="J7" s="56">
        <v>1</v>
      </c>
      <c r="K7" s="55">
        <v>0</v>
      </c>
      <c r="L7" s="56">
        <v>0</v>
      </c>
    </row>
    <row r="8" spans="1:12" ht="30" x14ac:dyDescent="0.25">
      <c r="A8" s="54" t="s">
        <v>54</v>
      </c>
      <c r="B8" s="54" t="s">
        <v>89</v>
      </c>
      <c r="C8" s="54" t="s">
        <v>59</v>
      </c>
      <c r="D8" s="55">
        <v>7738.9</v>
      </c>
      <c r="E8" s="57"/>
      <c r="F8" s="57"/>
      <c r="G8" s="57"/>
      <c r="H8" s="57"/>
      <c r="I8" s="57"/>
      <c r="J8" s="57"/>
      <c r="K8" s="55">
        <v>0</v>
      </c>
      <c r="L8" s="56">
        <v>0</v>
      </c>
    </row>
    <row r="9" spans="1:12" ht="30" x14ac:dyDescent="0.25">
      <c r="A9" s="54" t="s">
        <v>54</v>
      </c>
      <c r="B9" s="54" t="s">
        <v>90</v>
      </c>
      <c r="C9" s="54" t="s">
        <v>59</v>
      </c>
      <c r="D9" s="55">
        <v>12606.7</v>
      </c>
      <c r="E9" s="55">
        <v>12606.7</v>
      </c>
      <c r="F9" s="56">
        <v>1</v>
      </c>
      <c r="G9" s="55">
        <v>12606.7</v>
      </c>
      <c r="H9" s="56">
        <v>1</v>
      </c>
      <c r="I9" s="55">
        <v>12606.7</v>
      </c>
      <c r="J9" s="56">
        <v>1</v>
      </c>
      <c r="K9" s="55">
        <v>0</v>
      </c>
      <c r="L9" s="56">
        <v>0</v>
      </c>
    </row>
    <row r="10" spans="1:12" ht="30" x14ac:dyDescent="0.25">
      <c r="A10" s="54" t="s">
        <v>54</v>
      </c>
      <c r="B10" s="54" t="s">
        <v>87</v>
      </c>
      <c r="C10" s="54" t="s">
        <v>59</v>
      </c>
      <c r="D10" s="55">
        <v>11821.4</v>
      </c>
      <c r="E10" s="55">
        <v>11821.4</v>
      </c>
      <c r="F10" s="56">
        <v>1</v>
      </c>
      <c r="G10" s="55">
        <v>11821.4</v>
      </c>
      <c r="H10" s="56">
        <v>1</v>
      </c>
      <c r="I10" s="55">
        <v>11821.4</v>
      </c>
      <c r="J10" s="56">
        <v>1</v>
      </c>
      <c r="K10" s="55">
        <v>216.72407407407408</v>
      </c>
      <c r="L10" s="56">
        <v>1.833319861218418E-2</v>
      </c>
    </row>
    <row r="11" spans="1:12" ht="30" x14ac:dyDescent="0.25">
      <c r="A11" s="54" t="s">
        <v>54</v>
      </c>
      <c r="B11" s="54" t="s">
        <v>93</v>
      </c>
      <c r="C11" s="54" t="s">
        <v>59</v>
      </c>
      <c r="D11" s="55">
        <v>13649.20000000001</v>
      </c>
      <c r="E11" s="55">
        <v>13649.20000000001</v>
      </c>
      <c r="F11" s="56">
        <v>1</v>
      </c>
      <c r="G11" s="55">
        <v>13649.20000000001</v>
      </c>
      <c r="H11" s="56">
        <v>1</v>
      </c>
      <c r="I11" s="55">
        <v>13649.20000000001</v>
      </c>
      <c r="J11" s="56">
        <v>1</v>
      </c>
      <c r="K11" s="55">
        <v>0</v>
      </c>
      <c r="L11" s="56">
        <v>0</v>
      </c>
    </row>
    <row r="12" spans="1:12" ht="30" x14ac:dyDescent="0.25">
      <c r="A12" s="54" t="s">
        <v>54</v>
      </c>
      <c r="B12" s="54" t="s">
        <v>58</v>
      </c>
      <c r="C12" s="54" t="s">
        <v>59</v>
      </c>
      <c r="D12" s="55">
        <v>18015.7</v>
      </c>
      <c r="E12" s="55">
        <v>18015.7</v>
      </c>
      <c r="F12" s="56">
        <v>1</v>
      </c>
      <c r="G12" s="55">
        <v>18015.7</v>
      </c>
      <c r="H12" s="56">
        <v>1</v>
      </c>
      <c r="I12" s="55">
        <v>18015.7</v>
      </c>
      <c r="J12" s="56">
        <v>1</v>
      </c>
      <c r="K12" s="55">
        <v>4230.9227077085816</v>
      </c>
      <c r="L12" s="56">
        <v>0.23484642327017999</v>
      </c>
    </row>
    <row r="13" spans="1:12" ht="30" x14ac:dyDescent="0.25">
      <c r="A13" s="54" t="s">
        <v>54</v>
      </c>
      <c r="B13" s="54" t="s">
        <v>77</v>
      </c>
      <c r="C13" s="54" t="s">
        <v>59</v>
      </c>
      <c r="D13" s="55">
        <v>14499.95</v>
      </c>
      <c r="E13" s="55">
        <v>14499.95</v>
      </c>
      <c r="F13" s="56">
        <v>1</v>
      </c>
      <c r="G13" s="55">
        <v>14499.95</v>
      </c>
      <c r="H13" s="56">
        <v>1</v>
      </c>
      <c r="I13" s="55">
        <v>14499.95</v>
      </c>
      <c r="J13" s="56">
        <v>1</v>
      </c>
      <c r="K13" s="55">
        <v>4423.4099160559299</v>
      </c>
      <c r="L13" s="56">
        <v>0.3050638047755978</v>
      </c>
    </row>
    <row r="14" spans="1:12" x14ac:dyDescent="0.25">
      <c r="A14" s="54" t="s">
        <v>54</v>
      </c>
      <c r="B14" s="54" t="s">
        <v>62</v>
      </c>
      <c r="C14" s="54" t="s">
        <v>63</v>
      </c>
      <c r="D14" s="55">
        <v>103272.7</v>
      </c>
      <c r="E14" s="55">
        <v>77454.524999999994</v>
      </c>
      <c r="F14" s="56">
        <v>0.75</v>
      </c>
      <c r="G14" s="55">
        <v>70999.981249999997</v>
      </c>
      <c r="H14" s="56">
        <v>0.6875</v>
      </c>
      <c r="I14" s="55">
        <v>38727.262499999997</v>
      </c>
      <c r="J14" s="56">
        <v>0.375</v>
      </c>
      <c r="K14" s="55">
        <v>0</v>
      </c>
      <c r="L14" s="56">
        <v>0</v>
      </c>
    </row>
    <row r="15" spans="1:12" x14ac:dyDescent="0.25">
      <c r="A15" s="54" t="s">
        <v>54</v>
      </c>
      <c r="B15" s="54" t="s">
        <v>64</v>
      </c>
      <c r="C15" s="54" t="s">
        <v>65</v>
      </c>
      <c r="D15" s="55">
        <v>21757.69</v>
      </c>
      <c r="E15" s="55">
        <v>0</v>
      </c>
      <c r="F15" s="56">
        <v>0</v>
      </c>
      <c r="G15" s="55">
        <v>0</v>
      </c>
      <c r="H15" s="56">
        <v>0</v>
      </c>
      <c r="I15" s="55">
        <v>0</v>
      </c>
      <c r="J15" s="56">
        <v>0</v>
      </c>
      <c r="K15" s="55">
        <v>2607.4421395327126</v>
      </c>
      <c r="L15" s="56">
        <v>0.11984002619454145</v>
      </c>
    </row>
    <row r="16" spans="1:12" x14ac:dyDescent="0.25">
      <c r="A16" s="54" t="s">
        <v>54</v>
      </c>
      <c r="B16" s="54" t="s">
        <v>64</v>
      </c>
      <c r="C16" s="54" t="s">
        <v>66</v>
      </c>
      <c r="D16" s="55">
        <v>21757.69</v>
      </c>
      <c r="E16" s="55">
        <v>14505.126666666665</v>
      </c>
      <c r="F16" s="56">
        <v>0.66666666666666663</v>
      </c>
      <c r="G16" s="55">
        <v>0</v>
      </c>
      <c r="H16" s="56">
        <v>0</v>
      </c>
      <c r="I16" s="55">
        <v>0</v>
      </c>
      <c r="J16" s="56">
        <v>0</v>
      </c>
      <c r="K16" s="55">
        <v>0</v>
      </c>
      <c r="L16" s="56">
        <v>0</v>
      </c>
    </row>
    <row r="17" spans="1:12" x14ac:dyDescent="0.25">
      <c r="A17" s="54" t="s">
        <v>54</v>
      </c>
      <c r="B17" s="54" t="s">
        <v>64</v>
      </c>
      <c r="C17" s="54" t="s">
        <v>63</v>
      </c>
      <c r="D17" s="55">
        <v>21757.69</v>
      </c>
      <c r="E17" s="55">
        <v>19581.920999999998</v>
      </c>
      <c r="F17" s="56">
        <v>0.9</v>
      </c>
      <c r="G17" s="55">
        <v>19581.920999999998</v>
      </c>
      <c r="H17" s="56">
        <v>0.9</v>
      </c>
      <c r="I17" s="55">
        <v>19581.920999999998</v>
      </c>
      <c r="J17" s="56">
        <v>0.9</v>
      </c>
      <c r="K17" s="55">
        <v>0</v>
      </c>
      <c r="L17" s="56">
        <v>0</v>
      </c>
    </row>
    <row r="18" spans="1:12" x14ac:dyDescent="0.25">
      <c r="A18" s="54" t="s">
        <v>54</v>
      </c>
      <c r="B18" s="54" t="s">
        <v>64</v>
      </c>
      <c r="C18" s="54" t="s">
        <v>67</v>
      </c>
      <c r="D18" s="55">
        <v>21757.69</v>
      </c>
      <c r="E18" s="55">
        <v>0</v>
      </c>
      <c r="F18" s="56">
        <v>0</v>
      </c>
      <c r="G18" s="55">
        <v>0</v>
      </c>
      <c r="H18" s="56">
        <v>0</v>
      </c>
      <c r="I18" s="55">
        <v>0</v>
      </c>
      <c r="J18" s="56">
        <v>0</v>
      </c>
      <c r="K18" s="55">
        <v>0</v>
      </c>
      <c r="L18" s="56">
        <v>0</v>
      </c>
    </row>
    <row r="19" spans="1:12" x14ac:dyDescent="0.25">
      <c r="A19" s="54" t="s">
        <v>54</v>
      </c>
      <c r="B19" s="54" t="s">
        <v>71</v>
      </c>
      <c r="C19" s="54" t="s">
        <v>63</v>
      </c>
      <c r="D19" s="55">
        <v>82046.400000000009</v>
      </c>
      <c r="E19" s="55">
        <v>82046.400000000009</v>
      </c>
      <c r="F19" s="56">
        <v>1</v>
      </c>
      <c r="G19" s="55">
        <v>82046.400000000009</v>
      </c>
      <c r="H19" s="56">
        <v>1</v>
      </c>
      <c r="I19" s="55">
        <v>82046.400000000009</v>
      </c>
      <c r="J19" s="56">
        <v>1</v>
      </c>
      <c r="K19" s="55">
        <v>0</v>
      </c>
      <c r="L19" s="56">
        <v>0</v>
      </c>
    </row>
    <row r="20" spans="1:12" x14ac:dyDescent="0.25">
      <c r="A20" s="54" t="s">
        <v>54</v>
      </c>
      <c r="B20" s="54" t="s">
        <v>75</v>
      </c>
      <c r="C20" s="54" t="s">
        <v>76</v>
      </c>
      <c r="D20" s="55">
        <v>96422.23</v>
      </c>
      <c r="E20" s="55">
        <v>96422.23</v>
      </c>
      <c r="F20" s="56">
        <v>1</v>
      </c>
      <c r="G20" s="55">
        <v>96422.23</v>
      </c>
      <c r="H20" s="56">
        <v>1</v>
      </c>
      <c r="I20" s="55">
        <v>96422.23</v>
      </c>
      <c r="J20" s="56">
        <v>1</v>
      </c>
      <c r="K20" s="55">
        <v>0</v>
      </c>
      <c r="L20" s="56">
        <v>0</v>
      </c>
    </row>
    <row r="21" spans="1:12" x14ac:dyDescent="0.25">
      <c r="A21" s="54" t="s">
        <v>54</v>
      </c>
      <c r="B21" s="54" t="s">
        <v>81</v>
      </c>
      <c r="C21" s="54" t="s">
        <v>30</v>
      </c>
      <c r="D21" s="55">
        <v>89010.219999999987</v>
      </c>
      <c r="E21" s="55">
        <v>89010.219999999987</v>
      </c>
      <c r="F21" s="56">
        <v>1</v>
      </c>
      <c r="G21" s="55">
        <v>89010.219999999987</v>
      </c>
      <c r="H21" s="56">
        <v>1</v>
      </c>
      <c r="I21" s="55">
        <v>89010.219999999987</v>
      </c>
      <c r="J21" s="56">
        <v>1</v>
      </c>
      <c r="K21" s="55">
        <v>0</v>
      </c>
      <c r="L21" s="56">
        <v>0</v>
      </c>
    </row>
    <row r="22" spans="1:12" x14ac:dyDescent="0.25">
      <c r="A22" s="54" t="s">
        <v>54</v>
      </c>
      <c r="B22" s="54" t="s">
        <v>85</v>
      </c>
      <c r="C22" s="54" t="s">
        <v>30</v>
      </c>
      <c r="D22" s="55">
        <v>88239.10000000002</v>
      </c>
      <c r="E22" s="55">
        <v>88239.10000000002</v>
      </c>
      <c r="F22" s="56">
        <v>1</v>
      </c>
      <c r="G22" s="55">
        <v>88239.10000000002</v>
      </c>
      <c r="H22" s="56">
        <v>1</v>
      </c>
      <c r="I22" s="55">
        <v>0</v>
      </c>
      <c r="J22" s="56">
        <v>0</v>
      </c>
      <c r="K22" s="55">
        <v>0</v>
      </c>
      <c r="L22" s="56">
        <v>0</v>
      </c>
    </row>
    <row r="23" spans="1:12" x14ac:dyDescent="0.25">
      <c r="A23" s="54" t="s">
        <v>54</v>
      </c>
      <c r="B23" s="54" t="s">
        <v>86</v>
      </c>
      <c r="C23" s="54" t="s">
        <v>30</v>
      </c>
      <c r="D23" s="55">
        <v>61132.493900000001</v>
      </c>
      <c r="E23" s="55">
        <v>61132.493900000001</v>
      </c>
      <c r="F23" s="56">
        <v>1</v>
      </c>
      <c r="G23" s="55">
        <v>0</v>
      </c>
      <c r="H23" s="56">
        <v>0</v>
      </c>
      <c r="I23" s="55">
        <v>0</v>
      </c>
      <c r="J23" s="56">
        <v>0</v>
      </c>
      <c r="K23" s="55">
        <v>0</v>
      </c>
      <c r="L23" s="56">
        <v>0</v>
      </c>
    </row>
    <row r="24" spans="1:12" x14ac:dyDescent="0.25">
      <c r="A24" s="54" t="s">
        <v>54</v>
      </c>
      <c r="B24" s="54" t="s">
        <v>88</v>
      </c>
      <c r="C24" s="54" t="s">
        <v>63</v>
      </c>
      <c r="D24" s="55">
        <v>62868.84</v>
      </c>
      <c r="E24" s="55">
        <v>20432.373</v>
      </c>
      <c r="F24" s="56">
        <v>0.32500000000000001</v>
      </c>
      <c r="G24" s="55">
        <v>18860.651999999998</v>
      </c>
      <c r="H24" s="56">
        <v>0.3</v>
      </c>
      <c r="I24" s="55">
        <v>14145.489</v>
      </c>
      <c r="J24" s="56">
        <v>0.22500000000000001</v>
      </c>
      <c r="K24" s="55">
        <v>0</v>
      </c>
      <c r="L24" s="56">
        <v>0</v>
      </c>
    </row>
    <row r="25" spans="1:12" x14ac:dyDescent="0.25">
      <c r="A25" s="54" t="s">
        <v>54</v>
      </c>
      <c r="B25" s="54" t="s">
        <v>91</v>
      </c>
      <c r="C25" s="54" t="s">
        <v>63</v>
      </c>
      <c r="D25" s="55">
        <v>76828.36</v>
      </c>
      <c r="E25" s="55">
        <v>0</v>
      </c>
      <c r="F25" s="56">
        <v>0</v>
      </c>
      <c r="G25" s="55">
        <v>0</v>
      </c>
      <c r="H25" s="56">
        <v>0</v>
      </c>
      <c r="I25" s="55">
        <v>0</v>
      </c>
      <c r="J25" s="56">
        <v>0</v>
      </c>
      <c r="K25" s="55">
        <v>0</v>
      </c>
      <c r="L25" s="56">
        <v>0</v>
      </c>
    </row>
    <row r="26" spans="1:12" x14ac:dyDescent="0.25">
      <c r="A26" s="54" t="s">
        <v>27</v>
      </c>
      <c r="B26" s="54" t="s">
        <v>28</v>
      </c>
      <c r="C26" s="54" t="s">
        <v>30</v>
      </c>
      <c r="D26" s="55">
        <v>166217.75</v>
      </c>
      <c r="E26" s="55">
        <v>166217.75</v>
      </c>
      <c r="F26" s="56">
        <v>1</v>
      </c>
      <c r="G26" s="55">
        <v>166217.75</v>
      </c>
      <c r="H26" s="56">
        <v>1</v>
      </c>
      <c r="I26" s="55">
        <v>166217.75</v>
      </c>
      <c r="J26" s="56">
        <v>1</v>
      </c>
      <c r="K26" s="55">
        <v>0</v>
      </c>
      <c r="L26" s="56">
        <v>0</v>
      </c>
    </row>
    <row r="27" spans="1:12" ht="45" x14ac:dyDescent="0.25">
      <c r="A27" s="54" t="s">
        <v>27</v>
      </c>
      <c r="B27" s="54" t="s">
        <v>96</v>
      </c>
      <c r="C27" s="54" t="s">
        <v>32</v>
      </c>
      <c r="D27" s="55">
        <v>10000</v>
      </c>
      <c r="E27" s="55">
        <v>10000</v>
      </c>
      <c r="F27" s="56">
        <v>1</v>
      </c>
      <c r="G27" s="55">
        <v>10000</v>
      </c>
      <c r="H27" s="56">
        <v>1</v>
      </c>
      <c r="I27" s="55">
        <v>10000</v>
      </c>
      <c r="J27" s="56">
        <v>1</v>
      </c>
      <c r="K27" s="57"/>
      <c r="L27" s="57"/>
    </row>
    <row r="28" spans="1:12" x14ac:dyDescent="0.25">
      <c r="A28" s="54" t="s">
        <v>27</v>
      </c>
      <c r="B28" s="54" t="s">
        <v>31</v>
      </c>
      <c r="C28" s="54" t="s">
        <v>33</v>
      </c>
      <c r="D28" s="55">
        <v>105523.13032</v>
      </c>
      <c r="E28" s="55">
        <v>105523.13032</v>
      </c>
      <c r="F28" s="56">
        <v>1</v>
      </c>
      <c r="G28" s="55">
        <v>105523.13032</v>
      </c>
      <c r="H28" s="56">
        <v>1</v>
      </c>
      <c r="I28" s="55">
        <v>105523.13032</v>
      </c>
      <c r="J28" s="56">
        <v>1</v>
      </c>
      <c r="K28" s="55">
        <v>0</v>
      </c>
      <c r="L28" s="56">
        <v>0</v>
      </c>
    </row>
    <row r="29" spans="1:12" ht="45" x14ac:dyDescent="0.25">
      <c r="A29" s="54" t="s">
        <v>27</v>
      </c>
      <c r="B29" s="54" t="s">
        <v>97</v>
      </c>
      <c r="C29" s="54" t="s">
        <v>35</v>
      </c>
      <c r="D29" s="55">
        <v>8130</v>
      </c>
      <c r="E29" s="55">
        <v>8130</v>
      </c>
      <c r="F29" s="56">
        <v>1</v>
      </c>
      <c r="G29" s="55">
        <v>8130</v>
      </c>
      <c r="H29" s="56">
        <v>1</v>
      </c>
      <c r="I29" s="55">
        <v>8130</v>
      </c>
      <c r="J29" s="56">
        <v>1</v>
      </c>
      <c r="K29" s="57"/>
      <c r="L29" s="57"/>
    </row>
    <row r="30" spans="1:12" x14ac:dyDescent="0.25">
      <c r="A30" s="54" t="s">
        <v>27</v>
      </c>
      <c r="B30" s="54" t="s">
        <v>34</v>
      </c>
      <c r="C30" s="54" t="s">
        <v>36</v>
      </c>
      <c r="D30" s="55">
        <v>23734.43</v>
      </c>
      <c r="E30" s="55">
        <v>23734.43</v>
      </c>
      <c r="F30" s="56">
        <v>1</v>
      </c>
      <c r="G30" s="55">
        <v>23734.43</v>
      </c>
      <c r="H30" s="56">
        <v>1</v>
      </c>
      <c r="I30" s="55">
        <v>23734.43</v>
      </c>
      <c r="J30" s="56">
        <v>1</v>
      </c>
      <c r="K30" s="55">
        <v>23734.43</v>
      </c>
      <c r="L30" s="56">
        <v>1</v>
      </c>
    </row>
    <row r="31" spans="1:12" x14ac:dyDescent="0.25">
      <c r="A31" s="54" t="s">
        <v>27</v>
      </c>
      <c r="B31" s="54" t="s">
        <v>95</v>
      </c>
      <c r="C31" s="54" t="s">
        <v>29</v>
      </c>
      <c r="D31" s="55">
        <v>38873.682999999997</v>
      </c>
      <c r="E31" s="55">
        <v>38873.682999999997</v>
      </c>
      <c r="F31" s="56">
        <v>1</v>
      </c>
      <c r="G31" s="55">
        <v>38873.682999999997</v>
      </c>
      <c r="H31" s="56">
        <v>1</v>
      </c>
      <c r="I31" s="55">
        <v>38873.682999999997</v>
      </c>
      <c r="J31" s="56">
        <v>1</v>
      </c>
      <c r="K31" s="57"/>
      <c r="L31" s="57"/>
    </row>
    <row r="32" spans="1:12" x14ac:dyDescent="0.25">
      <c r="A32" s="54" t="s">
        <v>37</v>
      </c>
      <c r="B32" s="54" t="s">
        <v>38</v>
      </c>
      <c r="C32" s="54" t="s">
        <v>30</v>
      </c>
      <c r="D32" s="55">
        <v>176865.63999999998</v>
      </c>
      <c r="E32" s="55">
        <v>176865.63999999998</v>
      </c>
      <c r="F32" s="56">
        <v>1</v>
      </c>
      <c r="G32" s="55">
        <v>176865.63999999998</v>
      </c>
      <c r="H32" s="56">
        <v>1</v>
      </c>
      <c r="I32" s="55">
        <v>176865.63999999998</v>
      </c>
      <c r="J32" s="56">
        <v>1</v>
      </c>
      <c r="K32" s="55">
        <v>0</v>
      </c>
      <c r="L32" s="56">
        <v>0</v>
      </c>
    </row>
    <row r="33" spans="1:12" ht="45" x14ac:dyDescent="0.25">
      <c r="A33" s="54" t="s">
        <v>37</v>
      </c>
      <c r="B33" s="54" t="s">
        <v>98</v>
      </c>
      <c r="C33" s="54" t="s">
        <v>40</v>
      </c>
      <c r="D33" s="55">
        <v>28853.47</v>
      </c>
      <c r="E33" s="55">
        <v>28853.47</v>
      </c>
      <c r="F33" s="56">
        <v>1</v>
      </c>
      <c r="G33" s="55">
        <v>28853.47</v>
      </c>
      <c r="H33" s="56">
        <v>1</v>
      </c>
      <c r="I33" s="55">
        <v>28853.47</v>
      </c>
      <c r="J33" s="56">
        <v>1</v>
      </c>
      <c r="K33" s="57"/>
      <c r="L33" s="57"/>
    </row>
    <row r="34" spans="1:12" x14ac:dyDescent="0.25">
      <c r="A34" s="54" t="s">
        <v>37</v>
      </c>
      <c r="B34" s="54" t="s">
        <v>39</v>
      </c>
      <c r="C34" s="54" t="s">
        <v>41</v>
      </c>
      <c r="D34" s="55">
        <v>48011.730000000018</v>
      </c>
      <c r="E34" s="55">
        <v>48011.730000000018</v>
      </c>
      <c r="F34" s="56">
        <v>1</v>
      </c>
      <c r="G34" s="55">
        <v>48011.730000000018</v>
      </c>
      <c r="H34" s="56">
        <v>1</v>
      </c>
      <c r="I34" s="55">
        <v>48011.730000000018</v>
      </c>
      <c r="J34" s="56">
        <v>1</v>
      </c>
      <c r="K34" s="55">
        <v>0</v>
      </c>
      <c r="L34" s="56">
        <v>0</v>
      </c>
    </row>
    <row r="35" spans="1:12" x14ac:dyDescent="0.25">
      <c r="A35" s="54" t="s">
        <v>48</v>
      </c>
      <c r="B35" s="54" t="s">
        <v>50</v>
      </c>
      <c r="C35" s="54" t="s">
        <v>30</v>
      </c>
      <c r="D35" s="55">
        <v>161909.82999999999</v>
      </c>
      <c r="E35" s="55">
        <v>161909.82999999999</v>
      </c>
      <c r="F35" s="56">
        <v>1</v>
      </c>
      <c r="G35" s="55">
        <v>161909.82999999999</v>
      </c>
      <c r="H35" s="56">
        <v>1</v>
      </c>
      <c r="I35" s="55">
        <v>161909.82999999999</v>
      </c>
      <c r="J35" s="56">
        <v>1</v>
      </c>
      <c r="K35" s="55">
        <v>0</v>
      </c>
      <c r="L35" s="56">
        <v>0</v>
      </c>
    </row>
    <row r="36" spans="1:12" ht="45" x14ac:dyDescent="0.25">
      <c r="A36" s="54" t="s">
        <v>48</v>
      </c>
      <c r="B36" s="54" t="s">
        <v>99</v>
      </c>
      <c r="C36" s="54" t="s">
        <v>40</v>
      </c>
      <c r="D36" s="55">
        <v>36020.75</v>
      </c>
      <c r="E36" s="55">
        <v>36020.75</v>
      </c>
      <c r="F36" s="56">
        <v>1</v>
      </c>
      <c r="G36" s="55">
        <v>36020.75</v>
      </c>
      <c r="H36" s="56">
        <v>1</v>
      </c>
      <c r="I36" s="55">
        <v>36020.75</v>
      </c>
      <c r="J36" s="56">
        <v>1</v>
      </c>
      <c r="K36" s="57"/>
      <c r="L36" s="57"/>
    </row>
    <row r="37" spans="1:12" x14ac:dyDescent="0.25">
      <c r="A37" s="54" t="s">
        <v>48</v>
      </c>
      <c r="B37" s="54" t="s">
        <v>49</v>
      </c>
      <c r="C37" s="54" t="s">
        <v>41</v>
      </c>
      <c r="D37" s="55">
        <v>161909.82999999999</v>
      </c>
      <c r="E37" s="55">
        <v>161909.82999999999</v>
      </c>
      <c r="F37" s="56">
        <v>1</v>
      </c>
      <c r="G37" s="55">
        <v>161909.82999999999</v>
      </c>
      <c r="H37" s="56">
        <v>1</v>
      </c>
      <c r="I37" s="55">
        <v>161909.82999999999</v>
      </c>
      <c r="J37" s="56">
        <v>1</v>
      </c>
      <c r="K37" s="55">
        <v>0</v>
      </c>
      <c r="L37" s="56">
        <v>0</v>
      </c>
    </row>
    <row r="38" spans="1:12" x14ac:dyDescent="0.25">
      <c r="A38" s="54" t="s">
        <v>48</v>
      </c>
      <c r="B38" s="54" t="s">
        <v>53</v>
      </c>
      <c r="C38" s="54" t="s">
        <v>30</v>
      </c>
      <c r="D38" s="55">
        <v>38583.480000000003</v>
      </c>
      <c r="E38" s="55">
        <v>38583.480000000003</v>
      </c>
      <c r="F38" s="56">
        <v>1</v>
      </c>
      <c r="G38" s="55">
        <v>38583.480000000003</v>
      </c>
      <c r="H38" s="56">
        <v>1</v>
      </c>
      <c r="I38" s="55">
        <v>38583.480000000003</v>
      </c>
      <c r="J38" s="56">
        <v>1</v>
      </c>
      <c r="K38" s="55">
        <v>350.74984454545466</v>
      </c>
      <c r="L38" s="56">
        <v>9.0906741575787001E-3</v>
      </c>
    </row>
    <row r="39" spans="1:12" x14ac:dyDescent="0.25">
      <c r="A39" s="54" t="s">
        <v>42</v>
      </c>
      <c r="B39" s="54" t="s">
        <v>43</v>
      </c>
      <c r="C39" s="54" t="s">
        <v>30</v>
      </c>
      <c r="D39" s="55">
        <v>117331.46</v>
      </c>
      <c r="E39" s="55">
        <v>117331.46</v>
      </c>
      <c r="F39" s="56">
        <v>1</v>
      </c>
      <c r="G39" s="55">
        <v>117331.46</v>
      </c>
      <c r="H39" s="56">
        <v>1</v>
      </c>
      <c r="I39" s="55">
        <v>117331.46</v>
      </c>
      <c r="J39" s="56">
        <v>1</v>
      </c>
      <c r="K39" s="55">
        <v>117331.46</v>
      </c>
      <c r="L39" s="56">
        <v>1</v>
      </c>
    </row>
    <row r="40" spans="1:12" ht="45" x14ac:dyDescent="0.25">
      <c r="A40" s="54" t="s">
        <v>42</v>
      </c>
      <c r="B40" s="54" t="s">
        <v>100</v>
      </c>
      <c r="C40" s="54" t="s">
        <v>40</v>
      </c>
      <c r="D40" s="55">
        <v>32085.040000000001</v>
      </c>
      <c r="E40" s="55">
        <v>32085.040000000001</v>
      </c>
      <c r="F40" s="56">
        <v>1</v>
      </c>
      <c r="G40" s="55">
        <v>32085.040000000001</v>
      </c>
      <c r="H40" s="56">
        <v>1</v>
      </c>
      <c r="I40" s="55">
        <v>32085.040000000001</v>
      </c>
      <c r="J40" s="56">
        <v>1</v>
      </c>
      <c r="K40" s="57"/>
      <c r="L40" s="57"/>
    </row>
    <row r="41" spans="1:12" x14ac:dyDescent="0.25">
      <c r="A41" s="54" t="s">
        <v>42</v>
      </c>
      <c r="B41" s="54" t="s">
        <v>44</v>
      </c>
      <c r="C41" s="54" t="s">
        <v>41</v>
      </c>
      <c r="D41" s="55">
        <v>52880.41</v>
      </c>
      <c r="E41" s="55">
        <v>52880.41</v>
      </c>
      <c r="F41" s="56">
        <v>1</v>
      </c>
      <c r="G41" s="55">
        <v>52880.41</v>
      </c>
      <c r="H41" s="56">
        <v>1</v>
      </c>
      <c r="I41" s="55">
        <v>52880.41</v>
      </c>
      <c r="J41" s="56">
        <v>1</v>
      </c>
      <c r="K41" s="55">
        <v>0</v>
      </c>
      <c r="L41" s="56">
        <v>0</v>
      </c>
    </row>
    <row r="42" spans="1:12" x14ac:dyDescent="0.25">
      <c r="A42" s="54" t="s">
        <v>42</v>
      </c>
      <c r="B42" s="54" t="s">
        <v>45</v>
      </c>
      <c r="C42" s="54" t="s">
        <v>46</v>
      </c>
      <c r="D42" s="55">
        <v>45121.45</v>
      </c>
      <c r="E42" s="55">
        <v>45121.45</v>
      </c>
      <c r="F42" s="56">
        <v>1</v>
      </c>
      <c r="G42" s="55">
        <v>45121.45</v>
      </c>
      <c r="H42" s="56">
        <v>1</v>
      </c>
      <c r="I42" s="55">
        <v>45121.45</v>
      </c>
      <c r="J42" s="56">
        <v>1</v>
      </c>
      <c r="K42" s="55">
        <v>45121.45</v>
      </c>
      <c r="L42" s="56">
        <v>1</v>
      </c>
    </row>
    <row r="43" spans="1:12" x14ac:dyDescent="0.25">
      <c r="A43" s="54" t="s">
        <v>42</v>
      </c>
      <c r="B43" s="54" t="s">
        <v>92</v>
      </c>
      <c r="C43" s="54" t="s">
        <v>30</v>
      </c>
      <c r="D43" s="55">
        <v>23707.337294800007</v>
      </c>
      <c r="E43" s="55">
        <v>23707.337294800007</v>
      </c>
      <c r="F43" s="56">
        <v>1</v>
      </c>
      <c r="G43" s="55">
        <v>23707.337294800007</v>
      </c>
      <c r="H43" s="56">
        <v>1</v>
      </c>
      <c r="I43" s="55">
        <v>23707.337294800007</v>
      </c>
      <c r="J43" s="56">
        <v>1</v>
      </c>
      <c r="K43" s="55">
        <v>0</v>
      </c>
      <c r="L43" s="56">
        <v>0</v>
      </c>
    </row>
    <row r="44" spans="1:12" x14ac:dyDescent="0.25">
      <c r="A44" s="54" t="s">
        <v>128</v>
      </c>
      <c r="B44" s="54" t="s">
        <v>128</v>
      </c>
      <c r="C44" s="54" t="s">
        <v>30</v>
      </c>
      <c r="D44" s="55">
        <v>733.58</v>
      </c>
      <c r="E44" s="55">
        <v>0</v>
      </c>
      <c r="F44" s="56">
        <v>0</v>
      </c>
      <c r="G44" s="55">
        <v>0</v>
      </c>
      <c r="H44" s="56">
        <v>0</v>
      </c>
      <c r="I44" s="55">
        <v>0</v>
      </c>
      <c r="J44" s="56">
        <v>0</v>
      </c>
      <c r="K44" s="57"/>
      <c r="L44" s="57"/>
    </row>
    <row r="45" spans="1:12" x14ac:dyDescent="0.25">
      <c r="A45" s="54" t="s">
        <v>47</v>
      </c>
      <c r="B45" s="54" t="s">
        <v>47</v>
      </c>
      <c r="C45" s="54" t="s">
        <v>30</v>
      </c>
      <c r="D45" s="55">
        <v>231366.76</v>
      </c>
      <c r="E45" s="55">
        <v>231366.76</v>
      </c>
      <c r="F45" s="56">
        <v>1</v>
      </c>
      <c r="G45" s="55">
        <v>231366.76</v>
      </c>
      <c r="H45" s="56">
        <v>1</v>
      </c>
      <c r="I45" s="55">
        <v>231366.76</v>
      </c>
      <c r="J45" s="56">
        <v>1</v>
      </c>
      <c r="K45" s="55">
        <v>197529.26080194977</v>
      </c>
      <c r="L45" s="56">
        <v>0.85374952219562461</v>
      </c>
    </row>
    <row r="46" spans="1:12" x14ac:dyDescent="0.25">
      <c r="A46" s="54" t="s">
        <v>51</v>
      </c>
      <c r="B46" s="54" t="s">
        <v>73</v>
      </c>
      <c r="C46" s="54" t="s">
        <v>30</v>
      </c>
      <c r="D46" s="55">
        <v>37063.279999999999</v>
      </c>
      <c r="E46" s="55">
        <v>37063.279999999999</v>
      </c>
      <c r="F46" s="56">
        <v>1</v>
      </c>
      <c r="G46" s="55">
        <v>37063.279999999999</v>
      </c>
      <c r="H46" s="56">
        <v>1</v>
      </c>
      <c r="I46" s="55">
        <v>32430.37</v>
      </c>
      <c r="J46" s="56">
        <v>0.875</v>
      </c>
      <c r="K46" s="55">
        <v>0</v>
      </c>
      <c r="L46" s="56">
        <v>0</v>
      </c>
    </row>
    <row r="47" spans="1:12" x14ac:dyDescent="0.25">
      <c r="A47" s="54" t="s">
        <v>51</v>
      </c>
      <c r="B47" s="54" t="s">
        <v>73</v>
      </c>
      <c r="C47" s="54" t="s">
        <v>46</v>
      </c>
      <c r="D47" s="55">
        <v>37063.279999999999</v>
      </c>
      <c r="E47" s="55">
        <v>28826.995555555553</v>
      </c>
      <c r="F47" s="56">
        <v>0.77777777777777779</v>
      </c>
      <c r="G47" s="55">
        <v>28826.995555555553</v>
      </c>
      <c r="H47" s="56">
        <v>0.77777777777777779</v>
      </c>
      <c r="I47" s="55">
        <v>26767.924444444445</v>
      </c>
      <c r="J47" s="56">
        <v>0.72222222222222221</v>
      </c>
      <c r="K47" s="55">
        <v>0</v>
      </c>
      <c r="L47" s="56">
        <v>0</v>
      </c>
    </row>
    <row r="48" spans="1:12" x14ac:dyDescent="0.25">
      <c r="A48" s="54" t="s">
        <v>51</v>
      </c>
      <c r="B48" s="54" t="s">
        <v>73</v>
      </c>
      <c r="C48" s="54" t="s">
        <v>74</v>
      </c>
      <c r="D48" s="55">
        <v>37063.279999999999</v>
      </c>
      <c r="E48" s="55">
        <v>37063.279999999999</v>
      </c>
      <c r="F48" s="56">
        <v>1</v>
      </c>
      <c r="G48" s="55">
        <v>37063.279999999999</v>
      </c>
      <c r="H48" s="56">
        <v>1</v>
      </c>
      <c r="I48" s="55">
        <v>0</v>
      </c>
      <c r="J48" s="56">
        <v>0</v>
      </c>
      <c r="K48" s="55">
        <v>0</v>
      </c>
      <c r="L48" s="56">
        <v>0</v>
      </c>
    </row>
    <row r="49" spans="1:12" x14ac:dyDescent="0.25">
      <c r="A49" s="54" t="s">
        <v>51</v>
      </c>
      <c r="B49" s="54" t="s">
        <v>72</v>
      </c>
      <c r="C49" s="54" t="s">
        <v>46</v>
      </c>
      <c r="D49" s="55">
        <v>112594.34</v>
      </c>
      <c r="E49" s="55">
        <v>112594.34</v>
      </c>
      <c r="F49" s="56">
        <v>1</v>
      </c>
      <c r="G49" s="55">
        <v>112594.34</v>
      </c>
      <c r="H49" s="56">
        <v>1</v>
      </c>
      <c r="I49" s="55">
        <v>112594.34</v>
      </c>
      <c r="J49" s="56">
        <v>1</v>
      </c>
      <c r="K49" s="55">
        <v>0</v>
      </c>
      <c r="L49" s="56">
        <v>0</v>
      </c>
    </row>
    <row r="50" spans="1:12" x14ac:dyDescent="0.25">
      <c r="A50" s="54" t="s">
        <v>51</v>
      </c>
      <c r="B50" s="54" t="s">
        <v>69</v>
      </c>
      <c r="C50" s="54" t="s">
        <v>70</v>
      </c>
      <c r="D50" s="55">
        <v>103605.23999999983</v>
      </c>
      <c r="E50" s="55">
        <v>103605.23999999983</v>
      </c>
      <c r="F50" s="56">
        <v>1</v>
      </c>
      <c r="G50" s="55">
        <v>103605.23999999983</v>
      </c>
      <c r="H50" s="56">
        <v>1</v>
      </c>
      <c r="I50" s="55">
        <v>103605.23999999983</v>
      </c>
      <c r="J50" s="56">
        <v>1</v>
      </c>
      <c r="K50" s="55">
        <v>0</v>
      </c>
      <c r="L50" s="56">
        <v>0</v>
      </c>
    </row>
    <row r="51" spans="1:12" x14ac:dyDescent="0.25">
      <c r="A51" s="54" t="s">
        <v>51</v>
      </c>
      <c r="B51" s="54" t="s">
        <v>68</v>
      </c>
      <c r="C51" s="54" t="s">
        <v>30</v>
      </c>
      <c r="D51" s="55">
        <v>91700.06</v>
      </c>
      <c r="E51" s="55">
        <v>91700.06</v>
      </c>
      <c r="F51" s="56">
        <v>1</v>
      </c>
      <c r="G51" s="55">
        <v>91700.06</v>
      </c>
      <c r="H51" s="56">
        <v>1</v>
      </c>
      <c r="I51" s="55">
        <v>91700.06</v>
      </c>
      <c r="J51" s="56">
        <v>1</v>
      </c>
      <c r="K51" s="55">
        <v>9324.4140034894335</v>
      </c>
      <c r="L51" s="56">
        <v>0.10168383754044909</v>
      </c>
    </row>
    <row r="52" spans="1:12" x14ac:dyDescent="0.25">
      <c r="A52" s="54" t="s">
        <v>51</v>
      </c>
      <c r="B52" s="54" t="s">
        <v>68</v>
      </c>
      <c r="C52" s="54" t="s">
        <v>61</v>
      </c>
      <c r="D52" s="55">
        <v>3911.9090000000001</v>
      </c>
      <c r="E52" s="55">
        <v>3911.9090000000001</v>
      </c>
      <c r="F52" s="56">
        <v>1</v>
      </c>
      <c r="G52" s="55">
        <v>3911.9090000000001</v>
      </c>
      <c r="H52" s="56">
        <v>1</v>
      </c>
      <c r="I52" s="55">
        <v>3911.9090000000001</v>
      </c>
      <c r="J52" s="56">
        <v>1</v>
      </c>
      <c r="K52" s="55">
        <v>348.38469903147336</v>
      </c>
      <c r="L52" s="56">
        <v>8.9057465046214868E-2</v>
      </c>
    </row>
    <row r="53" spans="1:12" x14ac:dyDescent="0.25">
      <c r="A53" s="54" t="s">
        <v>51</v>
      </c>
      <c r="B53" s="54" t="s">
        <v>68</v>
      </c>
      <c r="C53" s="54" t="s">
        <v>46</v>
      </c>
      <c r="D53" s="55">
        <v>313.09100000000001</v>
      </c>
      <c r="E53" s="55">
        <v>313.09100000000001</v>
      </c>
      <c r="F53" s="56">
        <v>1</v>
      </c>
      <c r="G53" s="55">
        <v>313.09100000000001</v>
      </c>
      <c r="H53" s="56">
        <v>1</v>
      </c>
      <c r="I53" s="55">
        <v>313.09100000000001</v>
      </c>
      <c r="J53" s="56">
        <v>1</v>
      </c>
      <c r="K53" s="55">
        <v>313.09082429299076</v>
      </c>
      <c r="L53" s="56">
        <v>0.99999943879891395</v>
      </c>
    </row>
    <row r="54" spans="1:12" x14ac:dyDescent="0.25">
      <c r="A54" s="54" t="s">
        <v>51</v>
      </c>
      <c r="B54" s="54" t="s">
        <v>60</v>
      </c>
      <c r="C54" s="54" t="s">
        <v>30</v>
      </c>
      <c r="D54" s="55">
        <v>90800.14</v>
      </c>
      <c r="E54" s="55">
        <v>90800.14</v>
      </c>
      <c r="F54" s="56">
        <v>1</v>
      </c>
      <c r="G54" s="55">
        <v>90800.14</v>
      </c>
      <c r="H54" s="56">
        <v>1</v>
      </c>
      <c r="I54" s="55">
        <v>90800.14</v>
      </c>
      <c r="J54" s="56">
        <v>1</v>
      </c>
      <c r="K54" s="55">
        <v>10153.047824795449</v>
      </c>
      <c r="L54" s="56">
        <v>0.11181753491564494</v>
      </c>
    </row>
    <row r="55" spans="1:12" x14ac:dyDescent="0.25">
      <c r="A55" s="54" t="s">
        <v>51</v>
      </c>
      <c r="B55" s="54" t="s">
        <v>60</v>
      </c>
      <c r="C55" s="54" t="s">
        <v>61</v>
      </c>
      <c r="D55" s="55">
        <v>3099.45</v>
      </c>
      <c r="E55" s="55">
        <v>3099.45</v>
      </c>
      <c r="F55" s="56">
        <v>1</v>
      </c>
      <c r="G55" s="55">
        <v>3099.45</v>
      </c>
      <c r="H55" s="56">
        <v>1</v>
      </c>
      <c r="I55" s="55">
        <v>3099.45</v>
      </c>
      <c r="J55" s="56">
        <v>1</v>
      </c>
      <c r="K55" s="55">
        <v>316.12053666945536</v>
      </c>
      <c r="L55" s="56">
        <v>0.10199246210439122</v>
      </c>
    </row>
    <row r="56" spans="1:12" x14ac:dyDescent="0.25">
      <c r="A56" s="54" t="s">
        <v>51</v>
      </c>
      <c r="B56" s="54" t="s">
        <v>60</v>
      </c>
      <c r="C56" s="54" t="s">
        <v>46</v>
      </c>
      <c r="D56" s="55">
        <v>1909.55</v>
      </c>
      <c r="E56" s="55">
        <v>1909.55</v>
      </c>
      <c r="F56" s="56">
        <v>1</v>
      </c>
      <c r="G56" s="55">
        <v>1909.55</v>
      </c>
      <c r="H56" s="56">
        <v>1</v>
      </c>
      <c r="I56" s="55">
        <v>1909.55</v>
      </c>
      <c r="J56" s="56">
        <v>1</v>
      </c>
      <c r="K56" s="55">
        <v>1909.55</v>
      </c>
      <c r="L56" s="56">
        <v>1</v>
      </c>
    </row>
    <row r="57" spans="1:12" x14ac:dyDescent="0.25">
      <c r="A57" s="54" t="s">
        <v>51</v>
      </c>
      <c r="B57" s="54" t="s">
        <v>57</v>
      </c>
      <c r="C57" s="54" t="s">
        <v>30</v>
      </c>
      <c r="D57" s="55">
        <v>95330.38</v>
      </c>
      <c r="E57" s="55">
        <v>95330.38</v>
      </c>
      <c r="F57" s="56">
        <v>1</v>
      </c>
      <c r="G57" s="55">
        <v>95330.38</v>
      </c>
      <c r="H57" s="56">
        <v>1</v>
      </c>
      <c r="I57" s="55">
        <v>95330.38</v>
      </c>
      <c r="J57" s="56">
        <v>1</v>
      </c>
      <c r="K57" s="55">
        <v>10725.196913819915</v>
      </c>
      <c r="L57" s="56">
        <v>0.11250555084139929</v>
      </c>
    </row>
    <row r="58" spans="1:12" x14ac:dyDescent="0.25">
      <c r="A58" s="54" t="s">
        <v>51</v>
      </c>
      <c r="B58" s="54" t="s">
        <v>55</v>
      </c>
      <c r="C58" s="54" t="s">
        <v>30</v>
      </c>
      <c r="D58" s="55">
        <v>120097.08</v>
      </c>
      <c r="E58" s="55">
        <v>120097.08</v>
      </c>
      <c r="F58" s="56">
        <v>1</v>
      </c>
      <c r="G58" s="55">
        <v>120097.08</v>
      </c>
      <c r="H58" s="56">
        <v>1</v>
      </c>
      <c r="I58" s="55">
        <v>120097.08</v>
      </c>
      <c r="J58" s="56">
        <v>1</v>
      </c>
      <c r="K58" s="55">
        <v>0</v>
      </c>
      <c r="L58" s="56">
        <v>0</v>
      </c>
    </row>
    <row r="59" spans="1:12" x14ac:dyDescent="0.25">
      <c r="A59" s="54" t="s">
        <v>51</v>
      </c>
      <c r="B59" s="54" t="s">
        <v>55</v>
      </c>
      <c r="C59" s="54" t="s">
        <v>56</v>
      </c>
      <c r="D59" s="55">
        <v>377.43</v>
      </c>
      <c r="E59" s="55">
        <v>377.43</v>
      </c>
      <c r="F59" s="56">
        <v>1</v>
      </c>
      <c r="G59" s="55">
        <v>377.43</v>
      </c>
      <c r="H59" s="56">
        <v>1</v>
      </c>
      <c r="I59" s="55">
        <v>377.43</v>
      </c>
      <c r="J59" s="56">
        <v>1</v>
      </c>
      <c r="K59" s="55">
        <v>0</v>
      </c>
      <c r="L59" s="56">
        <v>0</v>
      </c>
    </row>
    <row r="60" spans="1:12" x14ac:dyDescent="0.25">
      <c r="A60" s="54" t="s">
        <v>51</v>
      </c>
      <c r="B60" s="54" t="s">
        <v>55</v>
      </c>
      <c r="C60" s="54" t="s">
        <v>46</v>
      </c>
      <c r="D60" s="55">
        <v>14276.64</v>
      </c>
      <c r="E60" s="55">
        <v>14276.64</v>
      </c>
      <c r="F60" s="56">
        <v>1</v>
      </c>
      <c r="G60" s="55">
        <v>14276.64</v>
      </c>
      <c r="H60" s="56">
        <v>1</v>
      </c>
      <c r="I60" s="55">
        <v>14276.64</v>
      </c>
      <c r="J60" s="56">
        <v>1</v>
      </c>
      <c r="K60" s="55">
        <v>0</v>
      </c>
      <c r="L60" s="56">
        <v>0</v>
      </c>
    </row>
    <row r="61" spans="1:12" x14ac:dyDescent="0.25">
      <c r="A61" s="54" t="s">
        <v>51</v>
      </c>
      <c r="B61" s="54" t="s">
        <v>52</v>
      </c>
      <c r="C61" s="54" t="s">
        <v>30</v>
      </c>
      <c r="D61" s="55">
        <v>68960.590000000026</v>
      </c>
      <c r="E61" s="55">
        <v>68960.590000000026</v>
      </c>
      <c r="F61" s="56">
        <v>1</v>
      </c>
      <c r="G61" s="55">
        <v>68960.590000000026</v>
      </c>
      <c r="H61" s="56">
        <v>1</v>
      </c>
      <c r="I61" s="55">
        <v>68960.590000000026</v>
      </c>
      <c r="J61" s="56">
        <v>1</v>
      </c>
      <c r="K61" s="55">
        <v>10984.872743362903</v>
      </c>
      <c r="L61" s="56">
        <v>0.15929203539823106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L62"/>
  <sheetViews>
    <sheetView topLeftCell="A32" workbookViewId="0">
      <selection activeCell="A2" sqref="A2:L61"/>
    </sheetView>
  </sheetViews>
  <sheetFormatPr defaultRowHeight="15" x14ac:dyDescent="0.25"/>
  <sheetData>
    <row r="1" spans="1:12" x14ac:dyDescent="0.25">
      <c r="A1" s="48" t="s">
        <v>102</v>
      </c>
      <c r="B1" s="48" t="s">
        <v>103</v>
      </c>
      <c r="C1" s="48" t="s">
        <v>104</v>
      </c>
      <c r="D1" s="48" t="s">
        <v>105</v>
      </c>
      <c r="E1" s="48" t="s">
        <v>106</v>
      </c>
      <c r="F1" s="48" t="s">
        <v>107</v>
      </c>
      <c r="G1" s="48" t="s">
        <v>108</v>
      </c>
      <c r="H1" s="48" t="s">
        <v>109</v>
      </c>
      <c r="I1" s="48" t="s">
        <v>110</v>
      </c>
      <c r="J1" s="48" t="s">
        <v>111</v>
      </c>
      <c r="K1" s="48" t="s">
        <v>112</v>
      </c>
      <c r="L1" s="48" t="s">
        <v>113</v>
      </c>
    </row>
    <row r="2" spans="1:12" x14ac:dyDescent="0.25">
      <c r="A2" s="49" t="s">
        <v>54</v>
      </c>
      <c r="B2" s="49" t="s">
        <v>82</v>
      </c>
      <c r="C2" s="49" t="s">
        <v>83</v>
      </c>
      <c r="D2" s="50">
        <v>61696.523999999998</v>
      </c>
      <c r="E2" s="50">
        <v>61696.523999999998</v>
      </c>
      <c r="F2" s="51">
        <v>1</v>
      </c>
      <c r="G2" s="50">
        <v>61696.523999999998</v>
      </c>
      <c r="H2" s="51">
        <v>1</v>
      </c>
      <c r="I2" s="50">
        <v>61696.523999999998</v>
      </c>
      <c r="J2" s="51">
        <v>1</v>
      </c>
      <c r="K2" s="50">
        <v>0</v>
      </c>
      <c r="L2" s="51">
        <v>0</v>
      </c>
    </row>
    <row r="3" spans="1:12" x14ac:dyDescent="0.25">
      <c r="A3" s="49" t="s">
        <v>54</v>
      </c>
      <c r="B3" s="49" t="s">
        <v>84</v>
      </c>
      <c r="C3" s="49" t="s">
        <v>83</v>
      </c>
      <c r="D3" s="50">
        <v>61512.597399999991</v>
      </c>
      <c r="E3" s="50">
        <v>61512.597399999991</v>
      </c>
      <c r="F3" s="51">
        <v>1</v>
      </c>
      <c r="G3" s="50">
        <v>0</v>
      </c>
      <c r="H3" s="51">
        <v>0</v>
      </c>
      <c r="I3" s="50">
        <v>0</v>
      </c>
      <c r="J3" s="51">
        <v>0</v>
      </c>
      <c r="K3" s="50">
        <v>0</v>
      </c>
      <c r="L3" s="51">
        <v>0</v>
      </c>
    </row>
    <row r="4" spans="1:12" x14ac:dyDescent="0.25">
      <c r="A4" s="49" t="s">
        <v>54</v>
      </c>
      <c r="B4" s="49" t="s">
        <v>94</v>
      </c>
      <c r="C4" s="49" t="s">
        <v>101</v>
      </c>
      <c r="D4" s="50">
        <v>116529.74</v>
      </c>
      <c r="E4" s="50">
        <v>58264.87</v>
      </c>
      <c r="F4" s="51">
        <v>0.5</v>
      </c>
      <c r="G4" s="50">
        <v>34958.921999999999</v>
      </c>
      <c r="H4" s="51">
        <v>0.3</v>
      </c>
      <c r="I4" s="50">
        <v>23305.948000000004</v>
      </c>
      <c r="J4" s="51">
        <v>0.2</v>
      </c>
      <c r="K4" s="50">
        <v>0</v>
      </c>
      <c r="L4" s="51">
        <v>0</v>
      </c>
    </row>
    <row r="5" spans="1:12" x14ac:dyDescent="0.25">
      <c r="A5" s="49" t="s">
        <v>54</v>
      </c>
      <c r="B5" s="49" t="s">
        <v>78</v>
      </c>
      <c r="C5" s="49" t="s">
        <v>59</v>
      </c>
      <c r="D5" s="50">
        <v>3632.6453241000008</v>
      </c>
      <c r="E5" s="50">
        <v>3632.6453241000008</v>
      </c>
      <c r="F5" s="51">
        <v>1</v>
      </c>
      <c r="G5" s="50">
        <v>3632.6453241000008</v>
      </c>
      <c r="H5" s="51">
        <v>1</v>
      </c>
      <c r="I5" s="50">
        <v>3632.6453241000008</v>
      </c>
      <c r="J5" s="51">
        <v>1</v>
      </c>
      <c r="K5" s="50">
        <v>82.560121002272751</v>
      </c>
      <c r="L5" s="51">
        <v>2.2727272727272728E-2</v>
      </c>
    </row>
    <row r="6" spans="1:12" ht="30" x14ac:dyDescent="0.25">
      <c r="A6" s="49" t="s">
        <v>54</v>
      </c>
      <c r="B6" s="49" t="s">
        <v>79</v>
      </c>
      <c r="C6" s="49" t="s">
        <v>59</v>
      </c>
      <c r="D6" s="50">
        <v>66526.931673225015</v>
      </c>
      <c r="E6" s="50">
        <v>66526.931673225015</v>
      </c>
      <c r="F6" s="51">
        <v>1</v>
      </c>
      <c r="G6" s="50">
        <v>66526.931673225015</v>
      </c>
      <c r="H6" s="51">
        <v>1</v>
      </c>
      <c r="I6" s="50">
        <v>66526.931673225015</v>
      </c>
      <c r="J6" s="51">
        <v>1</v>
      </c>
      <c r="K6" s="50">
        <v>0</v>
      </c>
      <c r="L6" s="51">
        <v>0</v>
      </c>
    </row>
    <row r="7" spans="1:12" ht="30" x14ac:dyDescent="0.25">
      <c r="A7" s="49" t="s">
        <v>54</v>
      </c>
      <c r="B7" s="49" t="s">
        <v>80</v>
      </c>
      <c r="C7" s="49" t="s">
        <v>59</v>
      </c>
      <c r="D7" s="50">
        <v>27322.570000000014</v>
      </c>
      <c r="E7" s="50">
        <v>27322.570000000014</v>
      </c>
      <c r="F7" s="51">
        <v>1</v>
      </c>
      <c r="G7" s="50">
        <v>27322.570000000014</v>
      </c>
      <c r="H7" s="51">
        <v>1</v>
      </c>
      <c r="I7" s="50">
        <v>27322.570000000014</v>
      </c>
      <c r="J7" s="51">
        <v>1</v>
      </c>
      <c r="K7" s="50">
        <v>0</v>
      </c>
      <c r="L7" s="51">
        <v>0</v>
      </c>
    </row>
    <row r="8" spans="1:12" ht="30" x14ac:dyDescent="0.25">
      <c r="A8" s="49" t="s">
        <v>54</v>
      </c>
      <c r="B8" s="49" t="s">
        <v>89</v>
      </c>
      <c r="C8" s="49" t="s">
        <v>59</v>
      </c>
      <c r="D8" s="50">
        <v>7738.9</v>
      </c>
      <c r="E8" s="52"/>
      <c r="F8" s="52"/>
      <c r="G8" s="52"/>
      <c r="H8" s="52"/>
      <c r="I8" s="52"/>
      <c r="J8" s="52"/>
      <c r="K8" s="50">
        <v>0</v>
      </c>
      <c r="L8" s="51">
        <v>0</v>
      </c>
    </row>
    <row r="9" spans="1:12" ht="30" x14ac:dyDescent="0.25">
      <c r="A9" s="49" t="s">
        <v>54</v>
      </c>
      <c r="B9" s="49" t="s">
        <v>90</v>
      </c>
      <c r="C9" s="49" t="s">
        <v>59</v>
      </c>
      <c r="D9" s="50">
        <v>12606.7</v>
      </c>
      <c r="E9" s="50">
        <v>12606.7</v>
      </c>
      <c r="F9" s="51">
        <v>1</v>
      </c>
      <c r="G9" s="50">
        <v>12606.7</v>
      </c>
      <c r="H9" s="51">
        <v>1</v>
      </c>
      <c r="I9" s="50">
        <v>12606.7</v>
      </c>
      <c r="J9" s="51">
        <v>1</v>
      </c>
      <c r="K9" s="50">
        <v>0</v>
      </c>
      <c r="L9" s="51">
        <v>0</v>
      </c>
    </row>
    <row r="10" spans="1:12" ht="30" x14ac:dyDescent="0.25">
      <c r="A10" s="49" t="s">
        <v>54</v>
      </c>
      <c r="B10" s="49" t="s">
        <v>87</v>
      </c>
      <c r="C10" s="49" t="s">
        <v>59</v>
      </c>
      <c r="D10" s="50">
        <v>11821.4</v>
      </c>
      <c r="E10" s="50">
        <v>11821.4</v>
      </c>
      <c r="F10" s="51">
        <v>1</v>
      </c>
      <c r="G10" s="50">
        <v>11821.4</v>
      </c>
      <c r="H10" s="51">
        <v>1</v>
      </c>
      <c r="I10" s="50">
        <v>11821.4</v>
      </c>
      <c r="J10" s="51">
        <v>1</v>
      </c>
      <c r="K10" s="50">
        <v>216.72407407407408</v>
      </c>
      <c r="L10" s="51">
        <v>1.833319861218418E-2</v>
      </c>
    </row>
    <row r="11" spans="1:12" ht="30" x14ac:dyDescent="0.25">
      <c r="A11" s="49" t="s">
        <v>54</v>
      </c>
      <c r="B11" s="49" t="s">
        <v>93</v>
      </c>
      <c r="C11" s="49" t="s">
        <v>59</v>
      </c>
      <c r="D11" s="50">
        <v>13649.20000000001</v>
      </c>
      <c r="E11" s="50">
        <v>13649.20000000001</v>
      </c>
      <c r="F11" s="51">
        <v>1</v>
      </c>
      <c r="G11" s="50">
        <v>13649.20000000001</v>
      </c>
      <c r="H11" s="51">
        <v>1</v>
      </c>
      <c r="I11" s="50">
        <v>13649.20000000001</v>
      </c>
      <c r="J11" s="51">
        <v>1</v>
      </c>
      <c r="K11" s="50">
        <v>0</v>
      </c>
      <c r="L11" s="51">
        <v>0</v>
      </c>
    </row>
    <row r="12" spans="1:12" ht="30" x14ac:dyDescent="0.25">
      <c r="A12" s="49" t="s">
        <v>54</v>
      </c>
      <c r="B12" s="49" t="s">
        <v>58</v>
      </c>
      <c r="C12" s="49" t="s">
        <v>59</v>
      </c>
      <c r="D12" s="50">
        <v>18015.7</v>
      </c>
      <c r="E12" s="50">
        <v>18015.7</v>
      </c>
      <c r="F12" s="51">
        <v>1</v>
      </c>
      <c r="G12" s="50">
        <v>18015.7</v>
      </c>
      <c r="H12" s="51">
        <v>1</v>
      </c>
      <c r="I12" s="50">
        <v>18015.7</v>
      </c>
      <c r="J12" s="51">
        <v>1</v>
      </c>
      <c r="K12" s="50">
        <v>4230.9227077085816</v>
      </c>
      <c r="L12" s="51">
        <v>0.23484642327017999</v>
      </c>
    </row>
    <row r="13" spans="1:12" ht="30" x14ac:dyDescent="0.25">
      <c r="A13" s="49" t="s">
        <v>54</v>
      </c>
      <c r="B13" s="49" t="s">
        <v>77</v>
      </c>
      <c r="C13" s="49" t="s">
        <v>59</v>
      </c>
      <c r="D13" s="50">
        <v>14499.95</v>
      </c>
      <c r="E13" s="50">
        <v>14499.95</v>
      </c>
      <c r="F13" s="51">
        <v>1</v>
      </c>
      <c r="G13" s="50">
        <v>14499.95</v>
      </c>
      <c r="H13" s="51">
        <v>1</v>
      </c>
      <c r="I13" s="50">
        <v>14499.95</v>
      </c>
      <c r="J13" s="51">
        <v>1</v>
      </c>
      <c r="K13" s="50">
        <v>4423.4099160559299</v>
      </c>
      <c r="L13" s="51">
        <v>0.3050638047755978</v>
      </c>
    </row>
    <row r="14" spans="1:12" x14ac:dyDescent="0.25">
      <c r="A14" s="49" t="s">
        <v>54</v>
      </c>
      <c r="B14" s="49" t="s">
        <v>62</v>
      </c>
      <c r="C14" s="49" t="s">
        <v>63</v>
      </c>
      <c r="D14" s="50">
        <v>103272.7</v>
      </c>
      <c r="E14" s="50">
        <v>77454.524999999994</v>
      </c>
      <c r="F14" s="51">
        <v>0.75</v>
      </c>
      <c r="G14" s="50">
        <v>70999.981249999997</v>
      </c>
      <c r="H14" s="51">
        <v>0.6875</v>
      </c>
      <c r="I14" s="50">
        <v>25818.174999999999</v>
      </c>
      <c r="J14" s="51">
        <v>0.25</v>
      </c>
      <c r="K14" s="50">
        <v>0</v>
      </c>
      <c r="L14" s="51">
        <v>0</v>
      </c>
    </row>
    <row r="15" spans="1:12" x14ac:dyDescent="0.25">
      <c r="A15" s="49" t="s">
        <v>54</v>
      </c>
      <c r="B15" s="49" t="s">
        <v>64</v>
      </c>
      <c r="C15" s="49" t="s">
        <v>65</v>
      </c>
      <c r="D15" s="50">
        <v>21757.69</v>
      </c>
      <c r="E15" s="50">
        <v>0</v>
      </c>
      <c r="F15" s="51">
        <v>0</v>
      </c>
      <c r="G15" s="50">
        <v>0</v>
      </c>
      <c r="H15" s="51">
        <v>0</v>
      </c>
      <c r="I15" s="50">
        <v>0</v>
      </c>
      <c r="J15" s="51">
        <v>0</v>
      </c>
      <c r="K15" s="50">
        <v>2607.4421395327126</v>
      </c>
      <c r="L15" s="51">
        <v>0.11984002619454145</v>
      </c>
    </row>
    <row r="16" spans="1:12" x14ac:dyDescent="0.25">
      <c r="A16" s="49" t="s">
        <v>54</v>
      </c>
      <c r="B16" s="49" t="s">
        <v>64</v>
      </c>
      <c r="C16" s="49" t="s">
        <v>66</v>
      </c>
      <c r="D16" s="50">
        <v>21757.69</v>
      </c>
      <c r="E16" s="50">
        <v>14505.126666666665</v>
      </c>
      <c r="F16" s="51">
        <v>0.66666666666666663</v>
      </c>
      <c r="G16" s="50">
        <v>0</v>
      </c>
      <c r="H16" s="51">
        <v>0</v>
      </c>
      <c r="I16" s="50">
        <v>0</v>
      </c>
      <c r="J16" s="51">
        <v>0</v>
      </c>
      <c r="K16" s="50">
        <v>0</v>
      </c>
      <c r="L16" s="51">
        <v>0</v>
      </c>
    </row>
    <row r="17" spans="1:12" x14ac:dyDescent="0.25">
      <c r="A17" s="49" t="s">
        <v>54</v>
      </c>
      <c r="B17" s="49" t="s">
        <v>64</v>
      </c>
      <c r="C17" s="49" t="s">
        <v>63</v>
      </c>
      <c r="D17" s="50">
        <v>21757.69</v>
      </c>
      <c r="E17" s="50">
        <v>19581.920999999998</v>
      </c>
      <c r="F17" s="51">
        <v>0.9</v>
      </c>
      <c r="G17" s="50">
        <v>19581.920999999998</v>
      </c>
      <c r="H17" s="51">
        <v>0.9</v>
      </c>
      <c r="I17" s="50">
        <v>17406.151999999998</v>
      </c>
      <c r="J17" s="51">
        <v>0.8</v>
      </c>
      <c r="K17" s="50">
        <v>0</v>
      </c>
      <c r="L17" s="51">
        <v>0</v>
      </c>
    </row>
    <row r="18" spans="1:12" x14ac:dyDescent="0.25">
      <c r="A18" s="49" t="s">
        <v>54</v>
      </c>
      <c r="B18" s="49" t="s">
        <v>64</v>
      </c>
      <c r="C18" s="49" t="s">
        <v>67</v>
      </c>
      <c r="D18" s="50">
        <v>21757.69</v>
      </c>
      <c r="E18" s="50">
        <v>0</v>
      </c>
      <c r="F18" s="51">
        <v>0</v>
      </c>
      <c r="G18" s="50">
        <v>0</v>
      </c>
      <c r="H18" s="51">
        <v>0</v>
      </c>
      <c r="I18" s="50">
        <v>0</v>
      </c>
      <c r="J18" s="51">
        <v>0</v>
      </c>
      <c r="K18" s="50">
        <v>0</v>
      </c>
      <c r="L18" s="51">
        <v>0</v>
      </c>
    </row>
    <row r="19" spans="1:12" x14ac:dyDescent="0.25">
      <c r="A19" s="49" t="s">
        <v>54</v>
      </c>
      <c r="B19" s="49" t="s">
        <v>71</v>
      </c>
      <c r="C19" s="49" t="s">
        <v>63</v>
      </c>
      <c r="D19" s="50">
        <v>82046.400000000009</v>
      </c>
      <c r="E19" s="50">
        <v>82046.400000000009</v>
      </c>
      <c r="F19" s="51">
        <v>1</v>
      </c>
      <c r="G19" s="50">
        <v>82046.400000000009</v>
      </c>
      <c r="H19" s="51">
        <v>1</v>
      </c>
      <c r="I19" s="50">
        <v>82046.400000000009</v>
      </c>
      <c r="J19" s="51">
        <v>1</v>
      </c>
      <c r="K19" s="50">
        <v>0</v>
      </c>
      <c r="L19" s="51">
        <v>0</v>
      </c>
    </row>
    <row r="20" spans="1:12" x14ac:dyDescent="0.25">
      <c r="A20" s="49" t="s">
        <v>54</v>
      </c>
      <c r="B20" s="49" t="s">
        <v>75</v>
      </c>
      <c r="C20" s="49" t="s">
        <v>76</v>
      </c>
      <c r="D20" s="50">
        <v>96422.23</v>
      </c>
      <c r="E20" s="50">
        <v>96422.23</v>
      </c>
      <c r="F20" s="51">
        <v>1</v>
      </c>
      <c r="G20" s="50">
        <v>96422.23</v>
      </c>
      <c r="H20" s="51">
        <v>1</v>
      </c>
      <c r="I20" s="50">
        <v>96422.23</v>
      </c>
      <c r="J20" s="51">
        <v>1</v>
      </c>
      <c r="K20" s="50">
        <v>0</v>
      </c>
      <c r="L20" s="51">
        <v>0</v>
      </c>
    </row>
    <row r="21" spans="1:12" x14ac:dyDescent="0.25">
      <c r="A21" s="49" t="s">
        <v>54</v>
      </c>
      <c r="B21" s="49" t="s">
        <v>81</v>
      </c>
      <c r="C21" s="49" t="s">
        <v>30</v>
      </c>
      <c r="D21" s="50">
        <v>89010.219999999987</v>
      </c>
      <c r="E21" s="50">
        <v>89010.219999999987</v>
      </c>
      <c r="F21" s="51">
        <v>1</v>
      </c>
      <c r="G21" s="50">
        <v>89010.219999999987</v>
      </c>
      <c r="H21" s="51">
        <v>1</v>
      </c>
      <c r="I21" s="50">
        <v>89010.219999999987</v>
      </c>
      <c r="J21" s="51">
        <v>1</v>
      </c>
      <c r="K21" s="50">
        <v>0</v>
      </c>
      <c r="L21" s="51">
        <v>0</v>
      </c>
    </row>
    <row r="22" spans="1:12" x14ac:dyDescent="0.25">
      <c r="A22" s="49" t="s">
        <v>54</v>
      </c>
      <c r="B22" s="49" t="s">
        <v>85</v>
      </c>
      <c r="C22" s="49" t="s">
        <v>30</v>
      </c>
      <c r="D22" s="50">
        <v>88239.10000000002</v>
      </c>
      <c r="E22" s="50">
        <v>88239.10000000002</v>
      </c>
      <c r="F22" s="51">
        <v>1</v>
      </c>
      <c r="G22" s="50">
        <v>88239.10000000002</v>
      </c>
      <c r="H22" s="51">
        <v>1</v>
      </c>
      <c r="I22" s="50">
        <v>0</v>
      </c>
      <c r="J22" s="51">
        <v>0</v>
      </c>
      <c r="K22" s="50">
        <v>0</v>
      </c>
      <c r="L22" s="51">
        <v>0</v>
      </c>
    </row>
    <row r="23" spans="1:12" x14ac:dyDescent="0.25">
      <c r="A23" s="49" t="s">
        <v>54</v>
      </c>
      <c r="B23" s="49" t="s">
        <v>86</v>
      </c>
      <c r="C23" s="49" t="s">
        <v>30</v>
      </c>
      <c r="D23" s="50">
        <v>61132.493900000001</v>
      </c>
      <c r="E23" s="50">
        <v>61132.493900000001</v>
      </c>
      <c r="F23" s="51">
        <v>1</v>
      </c>
      <c r="G23" s="50">
        <v>0</v>
      </c>
      <c r="H23" s="51">
        <v>0</v>
      </c>
      <c r="I23" s="50">
        <v>0</v>
      </c>
      <c r="J23" s="51">
        <v>0</v>
      </c>
      <c r="K23" s="50">
        <v>0</v>
      </c>
      <c r="L23" s="51">
        <v>0</v>
      </c>
    </row>
    <row r="24" spans="1:12" x14ac:dyDescent="0.25">
      <c r="A24" s="49" t="s">
        <v>54</v>
      </c>
      <c r="B24" s="49" t="s">
        <v>88</v>
      </c>
      <c r="C24" s="49" t="s">
        <v>63</v>
      </c>
      <c r="D24" s="50">
        <v>62868.84</v>
      </c>
      <c r="E24" s="50">
        <v>20432.373</v>
      </c>
      <c r="F24" s="51">
        <v>0.32500000000000001</v>
      </c>
      <c r="G24" s="50">
        <v>18860.651999999998</v>
      </c>
      <c r="H24" s="51">
        <v>0.3</v>
      </c>
      <c r="I24" s="50">
        <v>14145.489</v>
      </c>
      <c r="J24" s="51">
        <v>0.22500000000000001</v>
      </c>
      <c r="K24" s="50">
        <v>0</v>
      </c>
      <c r="L24" s="51">
        <v>0</v>
      </c>
    </row>
    <row r="25" spans="1:12" x14ac:dyDescent="0.25">
      <c r="A25" s="49" t="s">
        <v>54</v>
      </c>
      <c r="B25" s="49" t="s">
        <v>91</v>
      </c>
      <c r="C25" s="49" t="s">
        <v>63</v>
      </c>
      <c r="D25" s="50">
        <v>76828.36</v>
      </c>
      <c r="E25" s="50">
        <v>0</v>
      </c>
      <c r="F25" s="51">
        <v>0</v>
      </c>
      <c r="G25" s="50">
        <v>0</v>
      </c>
      <c r="H25" s="51">
        <v>0</v>
      </c>
      <c r="I25" s="50">
        <v>0</v>
      </c>
      <c r="J25" s="51">
        <v>0</v>
      </c>
      <c r="K25" s="50">
        <v>0</v>
      </c>
      <c r="L25" s="51">
        <v>0</v>
      </c>
    </row>
    <row r="26" spans="1:12" x14ac:dyDescent="0.25">
      <c r="A26" s="49" t="s">
        <v>27</v>
      </c>
      <c r="B26" s="49" t="s">
        <v>28</v>
      </c>
      <c r="C26" s="49" t="s">
        <v>30</v>
      </c>
      <c r="D26" s="50">
        <v>166217.75</v>
      </c>
      <c r="E26" s="50">
        <v>166217.75</v>
      </c>
      <c r="F26" s="51">
        <v>1</v>
      </c>
      <c r="G26" s="50">
        <v>166217.75</v>
      </c>
      <c r="H26" s="51">
        <v>1</v>
      </c>
      <c r="I26" s="50">
        <v>166217.75</v>
      </c>
      <c r="J26" s="51">
        <v>1</v>
      </c>
      <c r="K26" s="50">
        <v>0</v>
      </c>
      <c r="L26" s="51">
        <v>0</v>
      </c>
    </row>
    <row r="27" spans="1:12" ht="45" x14ac:dyDescent="0.25">
      <c r="A27" s="49" t="s">
        <v>27</v>
      </c>
      <c r="B27" s="49" t="s">
        <v>96</v>
      </c>
      <c r="C27" s="49" t="s">
        <v>32</v>
      </c>
      <c r="D27" s="50">
        <v>10000</v>
      </c>
      <c r="E27" s="50">
        <v>10000</v>
      </c>
      <c r="F27" s="51">
        <v>1</v>
      </c>
      <c r="G27" s="50">
        <v>10000</v>
      </c>
      <c r="H27" s="51">
        <v>1</v>
      </c>
      <c r="I27" s="50">
        <v>10000</v>
      </c>
      <c r="J27" s="51">
        <v>1</v>
      </c>
      <c r="K27" s="52"/>
      <c r="L27" s="52"/>
    </row>
    <row r="28" spans="1:12" x14ac:dyDescent="0.25">
      <c r="A28" s="49" t="s">
        <v>27</v>
      </c>
      <c r="B28" s="49" t="s">
        <v>31</v>
      </c>
      <c r="C28" s="49" t="s">
        <v>33</v>
      </c>
      <c r="D28" s="50">
        <v>105523.13032</v>
      </c>
      <c r="E28" s="50">
        <v>105523.13032</v>
      </c>
      <c r="F28" s="51">
        <v>1</v>
      </c>
      <c r="G28" s="50">
        <v>105523.13032</v>
      </c>
      <c r="H28" s="51">
        <v>1</v>
      </c>
      <c r="I28" s="50">
        <v>105523.13032</v>
      </c>
      <c r="J28" s="51">
        <v>1</v>
      </c>
      <c r="K28" s="50">
        <v>0</v>
      </c>
      <c r="L28" s="51">
        <v>0</v>
      </c>
    </row>
    <row r="29" spans="1:12" ht="45" x14ac:dyDescent="0.25">
      <c r="A29" s="49" t="s">
        <v>27</v>
      </c>
      <c r="B29" s="49" t="s">
        <v>97</v>
      </c>
      <c r="C29" s="49" t="s">
        <v>35</v>
      </c>
      <c r="D29" s="50">
        <v>8130</v>
      </c>
      <c r="E29" s="50">
        <v>8130</v>
      </c>
      <c r="F29" s="51">
        <v>1</v>
      </c>
      <c r="G29" s="50">
        <v>8130</v>
      </c>
      <c r="H29" s="51">
        <v>1</v>
      </c>
      <c r="I29" s="50">
        <v>8130</v>
      </c>
      <c r="J29" s="51">
        <v>1</v>
      </c>
      <c r="K29" s="52"/>
      <c r="L29" s="52"/>
    </row>
    <row r="30" spans="1:12" x14ac:dyDescent="0.25">
      <c r="A30" s="49" t="s">
        <v>27</v>
      </c>
      <c r="B30" s="49" t="s">
        <v>34</v>
      </c>
      <c r="C30" s="49" t="s">
        <v>36</v>
      </c>
      <c r="D30" s="50">
        <v>23734.43</v>
      </c>
      <c r="E30" s="50">
        <v>23734.43</v>
      </c>
      <c r="F30" s="51">
        <v>1</v>
      </c>
      <c r="G30" s="50">
        <v>23734.43</v>
      </c>
      <c r="H30" s="51">
        <v>1</v>
      </c>
      <c r="I30" s="50">
        <v>23734.43</v>
      </c>
      <c r="J30" s="51">
        <v>1</v>
      </c>
      <c r="K30" s="50">
        <v>23734.43</v>
      </c>
      <c r="L30" s="51">
        <v>1</v>
      </c>
    </row>
    <row r="31" spans="1:12" x14ac:dyDescent="0.25">
      <c r="A31" s="49" t="s">
        <v>27</v>
      </c>
      <c r="B31" s="49" t="s">
        <v>95</v>
      </c>
      <c r="C31" s="49" t="s">
        <v>29</v>
      </c>
      <c r="D31" s="50">
        <v>38873.682999999997</v>
      </c>
      <c r="E31" s="50">
        <v>38873.682999999997</v>
      </c>
      <c r="F31" s="51">
        <v>1</v>
      </c>
      <c r="G31" s="50">
        <v>38873.682999999997</v>
      </c>
      <c r="H31" s="51">
        <v>1</v>
      </c>
      <c r="I31" s="50">
        <v>38873.682999999997</v>
      </c>
      <c r="J31" s="51">
        <v>1</v>
      </c>
      <c r="K31" s="52"/>
      <c r="L31" s="52"/>
    </row>
    <row r="32" spans="1:12" x14ac:dyDescent="0.25">
      <c r="A32" s="49" t="s">
        <v>37</v>
      </c>
      <c r="B32" s="49" t="s">
        <v>38</v>
      </c>
      <c r="C32" s="49" t="s">
        <v>30</v>
      </c>
      <c r="D32" s="50">
        <v>176865.63999999998</v>
      </c>
      <c r="E32" s="50">
        <v>176865.63999999998</v>
      </c>
      <c r="F32" s="51">
        <v>1</v>
      </c>
      <c r="G32" s="50">
        <v>176865.63999999998</v>
      </c>
      <c r="H32" s="51">
        <v>1</v>
      </c>
      <c r="I32" s="50">
        <v>176865.63999999998</v>
      </c>
      <c r="J32" s="51">
        <v>1</v>
      </c>
      <c r="K32" s="50">
        <v>0</v>
      </c>
      <c r="L32" s="51">
        <v>0</v>
      </c>
    </row>
    <row r="33" spans="1:12" ht="45" x14ac:dyDescent="0.25">
      <c r="A33" s="49" t="s">
        <v>37</v>
      </c>
      <c r="B33" s="49" t="s">
        <v>98</v>
      </c>
      <c r="C33" s="49" t="s">
        <v>40</v>
      </c>
      <c r="D33" s="50">
        <v>28853.47</v>
      </c>
      <c r="E33" s="50">
        <v>28853.47</v>
      </c>
      <c r="F33" s="51">
        <v>1</v>
      </c>
      <c r="G33" s="50">
        <v>28853.47</v>
      </c>
      <c r="H33" s="51">
        <v>1</v>
      </c>
      <c r="I33" s="50">
        <v>28853.47</v>
      </c>
      <c r="J33" s="51">
        <v>1</v>
      </c>
      <c r="K33" s="52"/>
      <c r="L33" s="52"/>
    </row>
    <row r="34" spans="1:12" x14ac:dyDescent="0.25">
      <c r="A34" s="49" t="s">
        <v>37</v>
      </c>
      <c r="B34" s="49" t="s">
        <v>39</v>
      </c>
      <c r="C34" s="49" t="s">
        <v>41</v>
      </c>
      <c r="D34" s="50">
        <v>48011.730000000018</v>
      </c>
      <c r="E34" s="50">
        <v>48011.730000000018</v>
      </c>
      <c r="F34" s="51">
        <v>1</v>
      </c>
      <c r="G34" s="50">
        <v>48011.730000000018</v>
      </c>
      <c r="H34" s="51">
        <v>1</v>
      </c>
      <c r="I34" s="50">
        <v>48011.730000000018</v>
      </c>
      <c r="J34" s="51">
        <v>1</v>
      </c>
      <c r="K34" s="50">
        <v>0</v>
      </c>
      <c r="L34" s="51">
        <v>0</v>
      </c>
    </row>
    <row r="35" spans="1:12" x14ac:dyDescent="0.25">
      <c r="A35" s="49" t="s">
        <v>48</v>
      </c>
      <c r="B35" s="49" t="s">
        <v>50</v>
      </c>
      <c r="C35" s="49" t="s">
        <v>30</v>
      </c>
      <c r="D35" s="50">
        <v>161909.82999999999</v>
      </c>
      <c r="E35" s="50">
        <v>161909.82999999999</v>
      </c>
      <c r="F35" s="51">
        <v>1</v>
      </c>
      <c r="G35" s="50">
        <v>161909.82999999999</v>
      </c>
      <c r="H35" s="51">
        <v>1</v>
      </c>
      <c r="I35" s="50">
        <v>161909.82999999999</v>
      </c>
      <c r="J35" s="51">
        <v>1</v>
      </c>
      <c r="K35" s="50">
        <v>0</v>
      </c>
      <c r="L35" s="51">
        <v>0</v>
      </c>
    </row>
    <row r="36" spans="1:12" ht="45" x14ac:dyDescent="0.25">
      <c r="A36" s="49" t="s">
        <v>48</v>
      </c>
      <c r="B36" s="49" t="s">
        <v>99</v>
      </c>
      <c r="C36" s="49" t="s">
        <v>40</v>
      </c>
      <c r="D36" s="50">
        <v>36020.75</v>
      </c>
      <c r="E36" s="50">
        <v>36020.75</v>
      </c>
      <c r="F36" s="51">
        <v>1</v>
      </c>
      <c r="G36" s="50">
        <v>36020.75</v>
      </c>
      <c r="H36" s="51">
        <v>1</v>
      </c>
      <c r="I36" s="50">
        <v>36020.75</v>
      </c>
      <c r="J36" s="51">
        <v>1</v>
      </c>
      <c r="K36" s="52"/>
      <c r="L36" s="52"/>
    </row>
    <row r="37" spans="1:12" x14ac:dyDescent="0.25">
      <c r="A37" s="49" t="s">
        <v>48</v>
      </c>
      <c r="B37" s="49" t="s">
        <v>49</v>
      </c>
      <c r="C37" s="49" t="s">
        <v>41</v>
      </c>
      <c r="D37" s="50">
        <v>161909.82999999999</v>
      </c>
      <c r="E37" s="50">
        <v>161909.82999999999</v>
      </c>
      <c r="F37" s="51">
        <v>1</v>
      </c>
      <c r="G37" s="50">
        <v>161909.82999999999</v>
      </c>
      <c r="H37" s="51">
        <v>1</v>
      </c>
      <c r="I37" s="50">
        <v>161909.82999999999</v>
      </c>
      <c r="J37" s="51">
        <v>1</v>
      </c>
      <c r="K37" s="50">
        <v>0</v>
      </c>
      <c r="L37" s="51">
        <v>0</v>
      </c>
    </row>
    <row r="38" spans="1:12" x14ac:dyDescent="0.25">
      <c r="A38" s="49" t="s">
        <v>48</v>
      </c>
      <c r="B38" s="49" t="s">
        <v>53</v>
      </c>
      <c r="C38" s="49" t="s">
        <v>30</v>
      </c>
      <c r="D38" s="50">
        <v>38583.480000000003</v>
      </c>
      <c r="E38" s="50">
        <v>38583.480000000003</v>
      </c>
      <c r="F38" s="51">
        <v>1</v>
      </c>
      <c r="G38" s="50">
        <v>38583.480000000003</v>
      </c>
      <c r="H38" s="51">
        <v>1</v>
      </c>
      <c r="I38" s="50">
        <v>38583.480000000003</v>
      </c>
      <c r="J38" s="51">
        <v>1</v>
      </c>
      <c r="K38" s="50">
        <v>350.74984454545466</v>
      </c>
      <c r="L38" s="51">
        <v>9.0906741575787001E-3</v>
      </c>
    </row>
    <row r="39" spans="1:12" x14ac:dyDescent="0.25">
      <c r="A39" s="49" t="s">
        <v>42</v>
      </c>
      <c r="B39" s="49" t="s">
        <v>43</v>
      </c>
      <c r="C39" s="49" t="s">
        <v>30</v>
      </c>
      <c r="D39" s="50">
        <v>117331.46</v>
      </c>
      <c r="E39" s="50">
        <v>117331.46</v>
      </c>
      <c r="F39" s="51">
        <v>1</v>
      </c>
      <c r="G39" s="50">
        <v>117331.46</v>
      </c>
      <c r="H39" s="51">
        <v>1</v>
      </c>
      <c r="I39" s="50">
        <v>117331.46</v>
      </c>
      <c r="J39" s="51">
        <v>1</v>
      </c>
      <c r="K39" s="50">
        <v>117331.46</v>
      </c>
      <c r="L39" s="51">
        <v>1</v>
      </c>
    </row>
    <row r="40" spans="1:12" ht="45" x14ac:dyDescent="0.25">
      <c r="A40" s="49" t="s">
        <v>42</v>
      </c>
      <c r="B40" s="49" t="s">
        <v>100</v>
      </c>
      <c r="C40" s="49" t="s">
        <v>40</v>
      </c>
      <c r="D40" s="50">
        <v>32085.040000000001</v>
      </c>
      <c r="E40" s="50">
        <v>32085.040000000001</v>
      </c>
      <c r="F40" s="51">
        <v>1</v>
      </c>
      <c r="G40" s="50">
        <v>32085.040000000001</v>
      </c>
      <c r="H40" s="51">
        <v>1</v>
      </c>
      <c r="I40" s="50">
        <v>32085.040000000001</v>
      </c>
      <c r="J40" s="51">
        <v>1</v>
      </c>
      <c r="K40" s="52"/>
      <c r="L40" s="52"/>
    </row>
    <row r="41" spans="1:12" x14ac:dyDescent="0.25">
      <c r="A41" s="49" t="s">
        <v>42</v>
      </c>
      <c r="B41" s="49" t="s">
        <v>44</v>
      </c>
      <c r="C41" s="49" t="s">
        <v>41</v>
      </c>
      <c r="D41" s="50">
        <v>52880.41</v>
      </c>
      <c r="E41" s="50">
        <v>52880.41</v>
      </c>
      <c r="F41" s="51">
        <v>1</v>
      </c>
      <c r="G41" s="50">
        <v>52880.41</v>
      </c>
      <c r="H41" s="51">
        <v>1</v>
      </c>
      <c r="I41" s="50">
        <v>52880.41</v>
      </c>
      <c r="J41" s="51">
        <v>1</v>
      </c>
      <c r="K41" s="50">
        <v>0</v>
      </c>
      <c r="L41" s="51">
        <v>0</v>
      </c>
    </row>
    <row r="42" spans="1:12" x14ac:dyDescent="0.25">
      <c r="A42" s="49" t="s">
        <v>42</v>
      </c>
      <c r="B42" s="49" t="s">
        <v>45</v>
      </c>
      <c r="C42" s="49" t="s">
        <v>46</v>
      </c>
      <c r="D42" s="50">
        <v>45121.45</v>
      </c>
      <c r="E42" s="50">
        <v>45121.45</v>
      </c>
      <c r="F42" s="51">
        <v>1</v>
      </c>
      <c r="G42" s="50">
        <v>45121.45</v>
      </c>
      <c r="H42" s="51">
        <v>1</v>
      </c>
      <c r="I42" s="50">
        <v>45121.45</v>
      </c>
      <c r="J42" s="51">
        <v>1</v>
      </c>
      <c r="K42" s="50">
        <v>45121.45</v>
      </c>
      <c r="L42" s="51">
        <v>1</v>
      </c>
    </row>
    <row r="43" spans="1:12" x14ac:dyDescent="0.25">
      <c r="A43" s="49" t="s">
        <v>42</v>
      </c>
      <c r="B43" s="49" t="s">
        <v>92</v>
      </c>
      <c r="C43" s="49" t="s">
        <v>30</v>
      </c>
      <c r="D43" s="50">
        <v>23707.337294800007</v>
      </c>
      <c r="E43" s="50">
        <v>23707.337294800007</v>
      </c>
      <c r="F43" s="51">
        <v>1</v>
      </c>
      <c r="G43" s="50">
        <v>23707.337294800007</v>
      </c>
      <c r="H43" s="51">
        <v>1</v>
      </c>
      <c r="I43" s="50">
        <v>23707.337294800007</v>
      </c>
      <c r="J43" s="51">
        <v>1</v>
      </c>
      <c r="K43" s="50">
        <v>0</v>
      </c>
      <c r="L43" s="51">
        <v>0</v>
      </c>
    </row>
    <row r="44" spans="1:12" x14ac:dyDescent="0.25">
      <c r="A44" s="49" t="s">
        <v>128</v>
      </c>
      <c r="B44" s="49" t="s">
        <v>128</v>
      </c>
      <c r="C44" s="49" t="s">
        <v>30</v>
      </c>
      <c r="D44" s="50">
        <v>733.58</v>
      </c>
      <c r="E44" s="50">
        <v>0</v>
      </c>
      <c r="F44" s="51">
        <v>0</v>
      </c>
      <c r="G44" s="50">
        <v>0</v>
      </c>
      <c r="H44" s="51">
        <v>0</v>
      </c>
      <c r="I44" s="50">
        <v>0</v>
      </c>
      <c r="J44" s="51">
        <v>0</v>
      </c>
      <c r="K44" s="52"/>
      <c r="L44" s="52"/>
    </row>
    <row r="45" spans="1:12" x14ac:dyDescent="0.25">
      <c r="A45" s="49" t="s">
        <v>47</v>
      </c>
      <c r="B45" s="49" t="s">
        <v>47</v>
      </c>
      <c r="C45" s="49" t="s">
        <v>30</v>
      </c>
      <c r="D45" s="50">
        <v>231366.76</v>
      </c>
      <c r="E45" s="50">
        <v>231366.76</v>
      </c>
      <c r="F45" s="51">
        <v>1</v>
      </c>
      <c r="G45" s="50">
        <v>231366.76</v>
      </c>
      <c r="H45" s="51">
        <v>1</v>
      </c>
      <c r="I45" s="50">
        <v>231366.76</v>
      </c>
      <c r="J45" s="51">
        <v>1</v>
      </c>
      <c r="K45" s="50">
        <v>197529.26080194977</v>
      </c>
      <c r="L45" s="51">
        <v>0.85374952219562461</v>
      </c>
    </row>
    <row r="46" spans="1:12" x14ac:dyDescent="0.25">
      <c r="A46" s="49" t="s">
        <v>51</v>
      </c>
      <c r="B46" s="49" t="s">
        <v>73</v>
      </c>
      <c r="C46" s="49" t="s">
        <v>30</v>
      </c>
      <c r="D46" s="50">
        <v>37063.279999999999</v>
      </c>
      <c r="E46" s="50">
        <v>37063.279999999999</v>
      </c>
      <c r="F46" s="51">
        <v>1</v>
      </c>
      <c r="G46" s="50">
        <v>37063.279999999999</v>
      </c>
      <c r="H46" s="51">
        <v>1</v>
      </c>
      <c r="I46" s="50">
        <v>32430.37</v>
      </c>
      <c r="J46" s="51">
        <v>0.875</v>
      </c>
      <c r="K46" s="50">
        <v>0</v>
      </c>
      <c r="L46" s="51">
        <v>0</v>
      </c>
    </row>
    <row r="47" spans="1:12" x14ac:dyDescent="0.25">
      <c r="A47" s="49" t="s">
        <v>51</v>
      </c>
      <c r="B47" s="49" t="s">
        <v>73</v>
      </c>
      <c r="C47" s="49" t="s">
        <v>46</v>
      </c>
      <c r="D47" s="50">
        <v>37063.279999999999</v>
      </c>
      <c r="E47" s="50">
        <v>28826.995555555553</v>
      </c>
      <c r="F47" s="51">
        <v>0.77777777777777779</v>
      </c>
      <c r="G47" s="50">
        <v>28826.995555555553</v>
      </c>
      <c r="H47" s="51">
        <v>0.77777777777777779</v>
      </c>
      <c r="I47" s="50">
        <v>26767.924444444445</v>
      </c>
      <c r="J47" s="51">
        <v>0.72222222222222221</v>
      </c>
      <c r="K47" s="50">
        <v>0</v>
      </c>
      <c r="L47" s="51">
        <v>0</v>
      </c>
    </row>
    <row r="48" spans="1:12" x14ac:dyDescent="0.25">
      <c r="A48" s="49" t="s">
        <v>51</v>
      </c>
      <c r="B48" s="49" t="s">
        <v>73</v>
      </c>
      <c r="C48" s="49" t="s">
        <v>74</v>
      </c>
      <c r="D48" s="50">
        <v>37063.279999999999</v>
      </c>
      <c r="E48" s="50">
        <v>37063.279999999999</v>
      </c>
      <c r="F48" s="51">
        <v>1</v>
      </c>
      <c r="G48" s="50">
        <v>37063.279999999999</v>
      </c>
      <c r="H48" s="51">
        <v>1</v>
      </c>
      <c r="I48" s="50">
        <v>0</v>
      </c>
      <c r="J48" s="51">
        <v>0</v>
      </c>
      <c r="K48" s="50">
        <v>0</v>
      </c>
      <c r="L48" s="51">
        <v>0</v>
      </c>
    </row>
    <row r="49" spans="1:12" x14ac:dyDescent="0.25">
      <c r="A49" s="49" t="s">
        <v>51</v>
      </c>
      <c r="B49" s="49" t="s">
        <v>72</v>
      </c>
      <c r="C49" s="49" t="s">
        <v>46</v>
      </c>
      <c r="D49" s="50">
        <v>112594.34</v>
      </c>
      <c r="E49" s="50">
        <v>112594.34</v>
      </c>
      <c r="F49" s="51">
        <v>1</v>
      </c>
      <c r="G49" s="50">
        <v>112594.34</v>
      </c>
      <c r="H49" s="51">
        <v>1</v>
      </c>
      <c r="I49" s="50">
        <v>112594.34</v>
      </c>
      <c r="J49" s="51">
        <v>1</v>
      </c>
      <c r="K49" s="50">
        <v>0</v>
      </c>
      <c r="L49" s="51">
        <v>0</v>
      </c>
    </row>
    <row r="50" spans="1:12" x14ac:dyDescent="0.25">
      <c r="A50" s="49" t="s">
        <v>51</v>
      </c>
      <c r="B50" s="49" t="s">
        <v>69</v>
      </c>
      <c r="C50" s="49" t="s">
        <v>70</v>
      </c>
      <c r="D50" s="50">
        <v>103605.23999999983</v>
      </c>
      <c r="E50" s="50">
        <v>103605.23999999983</v>
      </c>
      <c r="F50" s="51">
        <v>1</v>
      </c>
      <c r="G50" s="50">
        <v>103605.23999999983</v>
      </c>
      <c r="H50" s="51">
        <v>1</v>
      </c>
      <c r="I50" s="50">
        <v>103605.23999999983</v>
      </c>
      <c r="J50" s="51">
        <v>1</v>
      </c>
      <c r="K50" s="50">
        <v>0</v>
      </c>
      <c r="L50" s="51">
        <v>0</v>
      </c>
    </row>
    <row r="51" spans="1:12" x14ac:dyDescent="0.25">
      <c r="A51" s="49" t="s">
        <v>51</v>
      </c>
      <c r="B51" s="49" t="s">
        <v>68</v>
      </c>
      <c r="C51" s="49" t="s">
        <v>30</v>
      </c>
      <c r="D51" s="50">
        <v>91700.06</v>
      </c>
      <c r="E51" s="50">
        <v>91700.06</v>
      </c>
      <c r="F51" s="51">
        <v>1</v>
      </c>
      <c r="G51" s="50">
        <v>91700.06</v>
      </c>
      <c r="H51" s="51">
        <v>1</v>
      </c>
      <c r="I51" s="50">
        <v>91700.06</v>
      </c>
      <c r="J51" s="51">
        <v>1</v>
      </c>
      <c r="K51" s="50">
        <v>9324.4140034894335</v>
      </c>
      <c r="L51" s="51">
        <v>0.10168383754044909</v>
      </c>
    </row>
    <row r="52" spans="1:12" x14ac:dyDescent="0.25">
      <c r="A52" s="49" t="s">
        <v>51</v>
      </c>
      <c r="B52" s="49" t="s">
        <v>68</v>
      </c>
      <c r="C52" s="49" t="s">
        <v>61</v>
      </c>
      <c r="D52" s="50">
        <v>3911.9090000000001</v>
      </c>
      <c r="E52" s="50">
        <v>3911.9090000000001</v>
      </c>
      <c r="F52" s="51">
        <v>1</v>
      </c>
      <c r="G52" s="50">
        <v>3911.9090000000001</v>
      </c>
      <c r="H52" s="51">
        <v>1</v>
      </c>
      <c r="I52" s="50">
        <v>3911.9090000000001</v>
      </c>
      <c r="J52" s="51">
        <v>1</v>
      </c>
      <c r="K52" s="50">
        <v>348.38469903147336</v>
      </c>
      <c r="L52" s="51">
        <v>8.9057465046214868E-2</v>
      </c>
    </row>
    <row r="53" spans="1:12" x14ac:dyDescent="0.25">
      <c r="A53" s="49" t="s">
        <v>51</v>
      </c>
      <c r="B53" s="49" t="s">
        <v>68</v>
      </c>
      <c r="C53" s="49" t="s">
        <v>46</v>
      </c>
      <c r="D53" s="50">
        <v>313.09100000000001</v>
      </c>
      <c r="E53" s="50">
        <v>313.09100000000001</v>
      </c>
      <c r="F53" s="51">
        <v>1</v>
      </c>
      <c r="G53" s="50">
        <v>313.09100000000001</v>
      </c>
      <c r="H53" s="51">
        <v>1</v>
      </c>
      <c r="I53" s="50">
        <v>313.09100000000001</v>
      </c>
      <c r="J53" s="51">
        <v>1</v>
      </c>
      <c r="K53" s="50">
        <v>313.09082429299076</v>
      </c>
      <c r="L53" s="51">
        <v>0.99999943879891395</v>
      </c>
    </row>
    <row r="54" spans="1:12" x14ac:dyDescent="0.25">
      <c r="A54" s="49" t="s">
        <v>51</v>
      </c>
      <c r="B54" s="49" t="s">
        <v>60</v>
      </c>
      <c r="C54" s="49" t="s">
        <v>30</v>
      </c>
      <c r="D54" s="50">
        <v>90800.14</v>
      </c>
      <c r="E54" s="50">
        <v>90800.14</v>
      </c>
      <c r="F54" s="51">
        <v>1</v>
      </c>
      <c r="G54" s="50">
        <v>90800.14</v>
      </c>
      <c r="H54" s="51">
        <v>1</v>
      </c>
      <c r="I54" s="50">
        <v>90800.14</v>
      </c>
      <c r="J54" s="51">
        <v>1</v>
      </c>
      <c r="K54" s="50">
        <v>10153.047824795449</v>
      </c>
      <c r="L54" s="51">
        <v>0.11181753491564494</v>
      </c>
    </row>
    <row r="55" spans="1:12" x14ac:dyDescent="0.25">
      <c r="A55" s="49" t="s">
        <v>51</v>
      </c>
      <c r="B55" s="49" t="s">
        <v>60</v>
      </c>
      <c r="C55" s="49" t="s">
        <v>61</v>
      </c>
      <c r="D55" s="50">
        <v>3099.45</v>
      </c>
      <c r="E55" s="50">
        <v>3099.45</v>
      </c>
      <c r="F55" s="51">
        <v>1</v>
      </c>
      <c r="G55" s="50">
        <v>3099.45</v>
      </c>
      <c r="H55" s="51">
        <v>1</v>
      </c>
      <c r="I55" s="50">
        <v>3099.45</v>
      </c>
      <c r="J55" s="51">
        <v>1</v>
      </c>
      <c r="K55" s="50">
        <v>316.12053666945536</v>
      </c>
      <c r="L55" s="51">
        <v>0.10199246210439122</v>
      </c>
    </row>
    <row r="56" spans="1:12" x14ac:dyDescent="0.25">
      <c r="A56" s="49" t="s">
        <v>51</v>
      </c>
      <c r="B56" s="49" t="s">
        <v>60</v>
      </c>
      <c r="C56" s="49" t="s">
        <v>46</v>
      </c>
      <c r="D56" s="50">
        <v>1909.55</v>
      </c>
      <c r="E56" s="50">
        <v>1909.55</v>
      </c>
      <c r="F56" s="51">
        <v>1</v>
      </c>
      <c r="G56" s="50">
        <v>1909.55</v>
      </c>
      <c r="H56" s="51">
        <v>1</v>
      </c>
      <c r="I56" s="50">
        <v>1909.55</v>
      </c>
      <c r="J56" s="51">
        <v>1</v>
      </c>
      <c r="K56" s="50">
        <v>1909.55</v>
      </c>
      <c r="L56" s="51">
        <v>1</v>
      </c>
    </row>
    <row r="57" spans="1:12" x14ac:dyDescent="0.25">
      <c r="A57" s="49" t="s">
        <v>51</v>
      </c>
      <c r="B57" s="49" t="s">
        <v>57</v>
      </c>
      <c r="C57" s="49" t="s">
        <v>30</v>
      </c>
      <c r="D57" s="50">
        <v>95335.08</v>
      </c>
      <c r="E57" s="50">
        <v>95335.08</v>
      </c>
      <c r="F57" s="51">
        <v>1</v>
      </c>
      <c r="G57" s="50">
        <v>95335.08</v>
      </c>
      <c r="H57" s="51">
        <v>1</v>
      </c>
      <c r="I57" s="50">
        <v>95335.08</v>
      </c>
      <c r="J57" s="51">
        <v>1</v>
      </c>
      <c r="K57" s="50">
        <v>10725.196913819915</v>
      </c>
      <c r="L57" s="51">
        <v>0.11250000434068881</v>
      </c>
    </row>
    <row r="58" spans="1:12" x14ac:dyDescent="0.25">
      <c r="A58" s="49" t="s">
        <v>51</v>
      </c>
      <c r="B58" s="49" t="s">
        <v>55</v>
      </c>
      <c r="C58" s="49" t="s">
        <v>30</v>
      </c>
      <c r="D58" s="50">
        <v>120097.08</v>
      </c>
      <c r="E58" s="50">
        <v>120097.08</v>
      </c>
      <c r="F58" s="51">
        <v>1</v>
      </c>
      <c r="G58" s="50">
        <v>120097.08</v>
      </c>
      <c r="H58" s="51">
        <v>1</v>
      </c>
      <c r="I58" s="50">
        <v>120097.08</v>
      </c>
      <c r="J58" s="51">
        <v>1</v>
      </c>
      <c r="K58" s="50">
        <v>0</v>
      </c>
      <c r="L58" s="51">
        <v>0</v>
      </c>
    </row>
    <row r="59" spans="1:12" x14ac:dyDescent="0.25">
      <c r="A59" s="49" t="s">
        <v>51</v>
      </c>
      <c r="B59" s="49" t="s">
        <v>55</v>
      </c>
      <c r="C59" s="49" t="s">
        <v>56</v>
      </c>
      <c r="D59" s="50">
        <v>377.43</v>
      </c>
      <c r="E59" s="50">
        <v>377.43</v>
      </c>
      <c r="F59" s="51">
        <v>1</v>
      </c>
      <c r="G59" s="50">
        <v>377.43</v>
      </c>
      <c r="H59" s="51">
        <v>1</v>
      </c>
      <c r="I59" s="50">
        <v>377.43</v>
      </c>
      <c r="J59" s="51">
        <v>1</v>
      </c>
      <c r="K59" s="50">
        <v>0</v>
      </c>
      <c r="L59" s="51">
        <v>0</v>
      </c>
    </row>
    <row r="60" spans="1:12" x14ac:dyDescent="0.25">
      <c r="A60" s="49" t="s">
        <v>51</v>
      </c>
      <c r="B60" s="49" t="s">
        <v>55</v>
      </c>
      <c r="C60" s="49" t="s">
        <v>46</v>
      </c>
      <c r="D60" s="50">
        <v>14276.64</v>
      </c>
      <c r="E60" s="50">
        <v>14276.64</v>
      </c>
      <c r="F60" s="51">
        <v>1</v>
      </c>
      <c r="G60" s="50">
        <v>14276.64</v>
      </c>
      <c r="H60" s="51">
        <v>1</v>
      </c>
      <c r="I60" s="50">
        <v>14276.64</v>
      </c>
      <c r="J60" s="51">
        <v>1</v>
      </c>
      <c r="K60" s="50">
        <v>0</v>
      </c>
      <c r="L60" s="51">
        <v>0</v>
      </c>
    </row>
    <row r="61" spans="1:12" x14ac:dyDescent="0.25">
      <c r="A61" s="49" t="s">
        <v>51</v>
      </c>
      <c r="B61" s="49" t="s">
        <v>52</v>
      </c>
      <c r="C61" s="49" t="s">
        <v>30</v>
      </c>
      <c r="D61" s="50">
        <v>68960.590000000026</v>
      </c>
      <c r="E61" s="50">
        <v>68960.590000000026</v>
      </c>
      <c r="F61" s="51">
        <v>1</v>
      </c>
      <c r="G61" s="50">
        <v>68960.590000000026</v>
      </c>
      <c r="H61" s="51">
        <v>1</v>
      </c>
      <c r="I61" s="50">
        <v>68960.590000000026</v>
      </c>
      <c r="J61" s="51">
        <v>1</v>
      </c>
      <c r="K61" s="50">
        <v>10984.872743362903</v>
      </c>
      <c r="L61" s="51">
        <v>0.15929203539823106</v>
      </c>
    </row>
    <row r="62" spans="1:12" ht="30" x14ac:dyDescent="0.25">
      <c r="A62" s="51" t="s">
        <v>114</v>
      </c>
      <c r="B62" s="51" t="s">
        <v>114</v>
      </c>
      <c r="C62" s="51" t="s">
        <v>114</v>
      </c>
      <c r="D62" s="51" t="s">
        <v>129</v>
      </c>
      <c r="E62" s="51" t="s">
        <v>133</v>
      </c>
      <c r="F62" s="51" t="s">
        <v>114</v>
      </c>
      <c r="G62" s="51" t="s">
        <v>134</v>
      </c>
      <c r="H62" s="51" t="s">
        <v>114</v>
      </c>
      <c r="I62" s="51" t="s">
        <v>135</v>
      </c>
      <c r="J62" s="51" t="s">
        <v>114</v>
      </c>
      <c r="K62" s="51" t="s">
        <v>115</v>
      </c>
      <c r="L62" s="51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62"/>
  <sheetViews>
    <sheetView topLeftCell="A32" workbookViewId="0">
      <selection activeCell="A2" sqref="A2:L61"/>
    </sheetView>
  </sheetViews>
  <sheetFormatPr defaultRowHeight="15" x14ac:dyDescent="0.25"/>
  <sheetData>
    <row r="1" spans="1:12" x14ac:dyDescent="0.25">
      <c r="A1" s="43" t="s">
        <v>102</v>
      </c>
      <c r="B1" s="43" t="s">
        <v>103</v>
      </c>
      <c r="C1" s="43" t="s">
        <v>104</v>
      </c>
      <c r="D1" s="43" t="s">
        <v>105</v>
      </c>
      <c r="E1" s="43" t="s">
        <v>106</v>
      </c>
      <c r="F1" s="43" t="s">
        <v>107</v>
      </c>
      <c r="G1" s="43" t="s">
        <v>108</v>
      </c>
      <c r="H1" s="43" t="s">
        <v>109</v>
      </c>
      <c r="I1" s="43" t="s">
        <v>110</v>
      </c>
      <c r="J1" s="43" t="s">
        <v>111</v>
      </c>
      <c r="K1" s="43" t="s">
        <v>112</v>
      </c>
      <c r="L1" s="43" t="s">
        <v>113</v>
      </c>
    </row>
    <row r="2" spans="1:12" x14ac:dyDescent="0.25">
      <c r="A2" s="44" t="s">
        <v>54</v>
      </c>
      <c r="B2" s="44" t="s">
        <v>82</v>
      </c>
      <c r="C2" s="44" t="s">
        <v>83</v>
      </c>
      <c r="D2" s="45">
        <v>61696.523999999998</v>
      </c>
      <c r="E2" s="45">
        <v>61696.523999999998</v>
      </c>
      <c r="F2" s="46">
        <v>1</v>
      </c>
      <c r="G2" s="45">
        <v>61696.523999999998</v>
      </c>
      <c r="H2" s="46">
        <v>1</v>
      </c>
      <c r="I2" s="45">
        <v>61696.523999999998</v>
      </c>
      <c r="J2" s="46">
        <v>1</v>
      </c>
      <c r="K2" s="45">
        <v>0</v>
      </c>
      <c r="L2" s="46">
        <v>0</v>
      </c>
    </row>
    <row r="3" spans="1:12" x14ac:dyDescent="0.25">
      <c r="A3" s="44" t="s">
        <v>54</v>
      </c>
      <c r="B3" s="44" t="s">
        <v>84</v>
      </c>
      <c r="C3" s="44" t="s">
        <v>83</v>
      </c>
      <c r="D3" s="45">
        <v>61512.597399999991</v>
      </c>
      <c r="E3" s="45">
        <v>61512.597399999991</v>
      </c>
      <c r="F3" s="46">
        <v>1</v>
      </c>
      <c r="G3" s="45">
        <v>0</v>
      </c>
      <c r="H3" s="46">
        <v>0</v>
      </c>
      <c r="I3" s="45">
        <v>0</v>
      </c>
      <c r="J3" s="46">
        <v>0</v>
      </c>
      <c r="K3" s="45">
        <v>0</v>
      </c>
      <c r="L3" s="46">
        <v>0</v>
      </c>
    </row>
    <row r="4" spans="1:12" x14ac:dyDescent="0.25">
      <c r="A4" s="44" t="s">
        <v>54</v>
      </c>
      <c r="B4" s="44" t="s">
        <v>94</v>
      </c>
      <c r="C4" s="44" t="s">
        <v>101</v>
      </c>
      <c r="D4" s="45">
        <v>116529.74</v>
      </c>
      <c r="E4" s="45">
        <v>58264.87</v>
      </c>
      <c r="F4" s="46">
        <v>0.5</v>
      </c>
      <c r="G4" s="45">
        <v>34958.921999999999</v>
      </c>
      <c r="H4" s="46">
        <v>0.3</v>
      </c>
      <c r="I4" s="45">
        <v>23305.948000000004</v>
      </c>
      <c r="J4" s="46">
        <v>0.2</v>
      </c>
      <c r="K4" s="45">
        <v>0</v>
      </c>
      <c r="L4" s="46">
        <v>0</v>
      </c>
    </row>
    <row r="5" spans="1:12" x14ac:dyDescent="0.25">
      <c r="A5" s="44" t="s">
        <v>54</v>
      </c>
      <c r="B5" s="44" t="s">
        <v>78</v>
      </c>
      <c r="C5" s="44" t="s">
        <v>59</v>
      </c>
      <c r="D5" s="45">
        <v>3632.6453241000008</v>
      </c>
      <c r="E5" s="45">
        <v>3632.6453241000008</v>
      </c>
      <c r="F5" s="46">
        <v>1</v>
      </c>
      <c r="G5" s="45">
        <v>3632.6453241000008</v>
      </c>
      <c r="H5" s="46">
        <v>1</v>
      </c>
      <c r="I5" s="45">
        <v>3632.6453241000008</v>
      </c>
      <c r="J5" s="46">
        <v>1</v>
      </c>
      <c r="K5" s="45">
        <v>82.560121002272751</v>
      </c>
      <c r="L5" s="46">
        <v>2.2727272727272728E-2</v>
      </c>
    </row>
    <row r="6" spans="1:12" ht="30" x14ac:dyDescent="0.25">
      <c r="A6" s="44" t="s">
        <v>54</v>
      </c>
      <c r="B6" s="44" t="s">
        <v>79</v>
      </c>
      <c r="C6" s="44" t="s">
        <v>59</v>
      </c>
      <c r="D6" s="45">
        <v>66526.931673225015</v>
      </c>
      <c r="E6" s="45">
        <v>66526.931673225015</v>
      </c>
      <c r="F6" s="46">
        <v>1</v>
      </c>
      <c r="G6" s="45">
        <v>66526.931673225015</v>
      </c>
      <c r="H6" s="46">
        <v>1</v>
      </c>
      <c r="I6" s="45">
        <v>66526.931673225015</v>
      </c>
      <c r="J6" s="46">
        <v>1</v>
      </c>
      <c r="K6" s="45">
        <v>0</v>
      </c>
      <c r="L6" s="46">
        <v>0</v>
      </c>
    </row>
    <row r="7" spans="1:12" ht="30" x14ac:dyDescent="0.25">
      <c r="A7" s="44" t="s">
        <v>54</v>
      </c>
      <c r="B7" s="44" t="s">
        <v>80</v>
      </c>
      <c r="C7" s="44" t="s">
        <v>59</v>
      </c>
      <c r="D7" s="45">
        <v>27322.570000000014</v>
      </c>
      <c r="E7" s="45">
        <v>27322.570000000014</v>
      </c>
      <c r="F7" s="46">
        <v>1</v>
      </c>
      <c r="G7" s="45">
        <v>27322.570000000014</v>
      </c>
      <c r="H7" s="46">
        <v>1</v>
      </c>
      <c r="I7" s="45">
        <v>27322.570000000014</v>
      </c>
      <c r="J7" s="46">
        <v>1</v>
      </c>
      <c r="K7" s="45">
        <v>0</v>
      </c>
      <c r="L7" s="46">
        <v>0</v>
      </c>
    </row>
    <row r="8" spans="1:12" ht="30" x14ac:dyDescent="0.25">
      <c r="A8" s="44" t="s">
        <v>54</v>
      </c>
      <c r="B8" s="44" t="s">
        <v>89</v>
      </c>
      <c r="C8" s="44" t="s">
        <v>59</v>
      </c>
      <c r="D8" s="45">
        <v>7738.9</v>
      </c>
      <c r="E8" s="47"/>
      <c r="F8" s="47"/>
      <c r="G8" s="47"/>
      <c r="H8" s="47"/>
      <c r="I8" s="47"/>
      <c r="J8" s="47"/>
      <c r="K8" s="45">
        <v>0</v>
      </c>
      <c r="L8" s="46">
        <v>0</v>
      </c>
    </row>
    <row r="9" spans="1:12" ht="30" x14ac:dyDescent="0.25">
      <c r="A9" s="44" t="s">
        <v>54</v>
      </c>
      <c r="B9" s="44" t="s">
        <v>90</v>
      </c>
      <c r="C9" s="44" t="s">
        <v>59</v>
      </c>
      <c r="D9" s="45">
        <v>12606.7</v>
      </c>
      <c r="E9" s="45">
        <v>12606.7</v>
      </c>
      <c r="F9" s="46">
        <v>1</v>
      </c>
      <c r="G9" s="45">
        <v>12606.7</v>
      </c>
      <c r="H9" s="46">
        <v>1</v>
      </c>
      <c r="I9" s="45">
        <v>12606.7</v>
      </c>
      <c r="J9" s="46">
        <v>1</v>
      </c>
      <c r="K9" s="45">
        <v>0</v>
      </c>
      <c r="L9" s="46">
        <v>0</v>
      </c>
    </row>
    <row r="10" spans="1:12" ht="30" x14ac:dyDescent="0.25">
      <c r="A10" s="44" t="s">
        <v>54</v>
      </c>
      <c r="B10" s="44" t="s">
        <v>87</v>
      </c>
      <c r="C10" s="44" t="s">
        <v>59</v>
      </c>
      <c r="D10" s="45">
        <v>11821.4</v>
      </c>
      <c r="E10" s="45">
        <v>11821.4</v>
      </c>
      <c r="F10" s="46">
        <v>1</v>
      </c>
      <c r="G10" s="45">
        <v>11821.4</v>
      </c>
      <c r="H10" s="46">
        <v>1</v>
      </c>
      <c r="I10" s="45">
        <v>11821.4</v>
      </c>
      <c r="J10" s="46">
        <v>1</v>
      </c>
      <c r="K10" s="45">
        <v>216.72407407407408</v>
      </c>
      <c r="L10" s="46">
        <v>1.833319861218418E-2</v>
      </c>
    </row>
    <row r="11" spans="1:12" ht="30" x14ac:dyDescent="0.25">
      <c r="A11" s="44" t="s">
        <v>54</v>
      </c>
      <c r="B11" s="44" t="s">
        <v>93</v>
      </c>
      <c r="C11" s="44" t="s">
        <v>59</v>
      </c>
      <c r="D11" s="45">
        <v>13649.20000000001</v>
      </c>
      <c r="E11" s="45">
        <v>13649.20000000001</v>
      </c>
      <c r="F11" s="46">
        <v>1</v>
      </c>
      <c r="G11" s="45">
        <v>13649.20000000001</v>
      </c>
      <c r="H11" s="46">
        <v>1</v>
      </c>
      <c r="I11" s="45">
        <v>13649.20000000001</v>
      </c>
      <c r="J11" s="46">
        <v>1</v>
      </c>
      <c r="K11" s="45">
        <v>0</v>
      </c>
      <c r="L11" s="46">
        <v>0</v>
      </c>
    </row>
    <row r="12" spans="1:12" ht="30" x14ac:dyDescent="0.25">
      <c r="A12" s="44" t="s">
        <v>54</v>
      </c>
      <c r="B12" s="44" t="s">
        <v>58</v>
      </c>
      <c r="C12" s="44" t="s">
        <v>59</v>
      </c>
      <c r="D12" s="45">
        <v>18015.7</v>
      </c>
      <c r="E12" s="45">
        <v>18015.7</v>
      </c>
      <c r="F12" s="46">
        <v>1</v>
      </c>
      <c r="G12" s="45">
        <v>18015.7</v>
      </c>
      <c r="H12" s="46">
        <v>1</v>
      </c>
      <c r="I12" s="45">
        <v>18015.7</v>
      </c>
      <c r="J12" s="46">
        <v>1</v>
      </c>
      <c r="K12" s="45">
        <v>4230.9227077085816</v>
      </c>
      <c r="L12" s="46">
        <v>0.23484642327017999</v>
      </c>
    </row>
    <row r="13" spans="1:12" ht="30" x14ac:dyDescent="0.25">
      <c r="A13" s="44" t="s">
        <v>54</v>
      </c>
      <c r="B13" s="44" t="s">
        <v>77</v>
      </c>
      <c r="C13" s="44" t="s">
        <v>59</v>
      </c>
      <c r="D13" s="45">
        <v>14499.95</v>
      </c>
      <c r="E13" s="45">
        <v>14499.95</v>
      </c>
      <c r="F13" s="46">
        <v>1</v>
      </c>
      <c r="G13" s="45">
        <v>14499.95</v>
      </c>
      <c r="H13" s="46">
        <v>1</v>
      </c>
      <c r="I13" s="45">
        <v>14499.95</v>
      </c>
      <c r="J13" s="46">
        <v>1</v>
      </c>
      <c r="K13" s="45">
        <v>4423.4099160559299</v>
      </c>
      <c r="L13" s="46">
        <v>0.3050638047755978</v>
      </c>
    </row>
    <row r="14" spans="1:12" x14ac:dyDescent="0.25">
      <c r="A14" s="44" t="s">
        <v>54</v>
      </c>
      <c r="B14" s="44" t="s">
        <v>62</v>
      </c>
      <c r="C14" s="44" t="s">
        <v>63</v>
      </c>
      <c r="D14" s="45">
        <v>103272.7</v>
      </c>
      <c r="E14" s="45">
        <v>77454.524999999994</v>
      </c>
      <c r="F14" s="46">
        <v>0.75</v>
      </c>
      <c r="G14" s="45">
        <v>70999.981249999997</v>
      </c>
      <c r="H14" s="46">
        <v>0.6875</v>
      </c>
      <c r="I14" s="45">
        <v>25818.174999999999</v>
      </c>
      <c r="J14" s="46">
        <v>0.25</v>
      </c>
      <c r="K14" s="45">
        <v>0</v>
      </c>
      <c r="L14" s="46">
        <v>0</v>
      </c>
    </row>
    <row r="15" spans="1:12" x14ac:dyDescent="0.25">
      <c r="A15" s="44" t="s">
        <v>54</v>
      </c>
      <c r="B15" s="44" t="s">
        <v>64</v>
      </c>
      <c r="C15" s="44" t="s">
        <v>65</v>
      </c>
      <c r="D15" s="45">
        <v>21757.69</v>
      </c>
      <c r="E15" s="45">
        <v>0</v>
      </c>
      <c r="F15" s="46">
        <v>0</v>
      </c>
      <c r="G15" s="45">
        <v>0</v>
      </c>
      <c r="H15" s="46">
        <v>0</v>
      </c>
      <c r="I15" s="45">
        <v>0</v>
      </c>
      <c r="J15" s="46">
        <v>0</v>
      </c>
      <c r="K15" s="45">
        <v>2607.4421395327126</v>
      </c>
      <c r="L15" s="46">
        <v>0.11984002619454145</v>
      </c>
    </row>
    <row r="16" spans="1:12" x14ac:dyDescent="0.25">
      <c r="A16" s="44" t="s">
        <v>54</v>
      </c>
      <c r="B16" s="44" t="s">
        <v>64</v>
      </c>
      <c r="C16" s="44" t="s">
        <v>66</v>
      </c>
      <c r="D16" s="45">
        <v>21757.69</v>
      </c>
      <c r="E16" s="45">
        <v>14505.126666666665</v>
      </c>
      <c r="F16" s="46">
        <v>0.66666666666666663</v>
      </c>
      <c r="G16" s="45">
        <v>0</v>
      </c>
      <c r="H16" s="46">
        <v>0</v>
      </c>
      <c r="I16" s="45">
        <v>0</v>
      </c>
      <c r="J16" s="46">
        <v>0</v>
      </c>
      <c r="K16" s="45">
        <v>0</v>
      </c>
      <c r="L16" s="46">
        <v>0</v>
      </c>
    </row>
    <row r="17" spans="1:12" x14ac:dyDescent="0.25">
      <c r="A17" s="44" t="s">
        <v>54</v>
      </c>
      <c r="B17" s="44" t="s">
        <v>64</v>
      </c>
      <c r="C17" s="44" t="s">
        <v>63</v>
      </c>
      <c r="D17" s="45">
        <v>21757.69</v>
      </c>
      <c r="E17" s="45">
        <v>17406.151999999998</v>
      </c>
      <c r="F17" s="46">
        <v>0.8</v>
      </c>
      <c r="G17" s="45">
        <v>0</v>
      </c>
      <c r="H17" s="46">
        <v>0</v>
      </c>
      <c r="I17" s="45">
        <v>0</v>
      </c>
      <c r="J17" s="46">
        <v>0</v>
      </c>
      <c r="K17" s="45">
        <v>0</v>
      </c>
      <c r="L17" s="46">
        <v>0</v>
      </c>
    </row>
    <row r="18" spans="1:12" x14ac:dyDescent="0.25">
      <c r="A18" s="44" t="s">
        <v>54</v>
      </c>
      <c r="B18" s="44" t="s">
        <v>64</v>
      </c>
      <c r="C18" s="44" t="s">
        <v>67</v>
      </c>
      <c r="D18" s="45">
        <v>21757.69</v>
      </c>
      <c r="E18" s="45">
        <v>0</v>
      </c>
      <c r="F18" s="46">
        <v>0</v>
      </c>
      <c r="G18" s="45">
        <v>0</v>
      </c>
      <c r="H18" s="46">
        <v>0</v>
      </c>
      <c r="I18" s="45">
        <v>0</v>
      </c>
      <c r="J18" s="46">
        <v>0</v>
      </c>
      <c r="K18" s="45">
        <v>0</v>
      </c>
      <c r="L18" s="46">
        <v>0</v>
      </c>
    </row>
    <row r="19" spans="1:12" x14ac:dyDescent="0.25">
      <c r="A19" s="44" t="s">
        <v>54</v>
      </c>
      <c r="B19" s="44" t="s">
        <v>71</v>
      </c>
      <c r="C19" s="44" t="s">
        <v>63</v>
      </c>
      <c r="D19" s="45">
        <v>82046.400000000009</v>
      </c>
      <c r="E19" s="45">
        <v>82046.400000000009</v>
      </c>
      <c r="F19" s="46">
        <v>1</v>
      </c>
      <c r="G19" s="45">
        <v>82046.400000000009</v>
      </c>
      <c r="H19" s="46">
        <v>1</v>
      </c>
      <c r="I19" s="45">
        <v>82046.400000000009</v>
      </c>
      <c r="J19" s="46">
        <v>1</v>
      </c>
      <c r="K19" s="45">
        <v>0</v>
      </c>
      <c r="L19" s="46">
        <v>0</v>
      </c>
    </row>
    <row r="20" spans="1:12" x14ac:dyDescent="0.25">
      <c r="A20" s="44" t="s">
        <v>54</v>
      </c>
      <c r="B20" s="44" t="s">
        <v>75</v>
      </c>
      <c r="C20" s="44" t="s">
        <v>76</v>
      </c>
      <c r="D20" s="45">
        <v>96422.23</v>
      </c>
      <c r="E20" s="45">
        <v>96422.23</v>
      </c>
      <c r="F20" s="46">
        <v>1</v>
      </c>
      <c r="G20" s="45">
        <v>96422.23</v>
      </c>
      <c r="H20" s="46">
        <v>1</v>
      </c>
      <c r="I20" s="45">
        <v>96422.23</v>
      </c>
      <c r="J20" s="46">
        <v>1</v>
      </c>
      <c r="K20" s="45">
        <v>0</v>
      </c>
      <c r="L20" s="46">
        <v>0</v>
      </c>
    </row>
    <row r="21" spans="1:12" x14ac:dyDescent="0.25">
      <c r="A21" s="44" t="s">
        <v>54</v>
      </c>
      <c r="B21" s="44" t="s">
        <v>81</v>
      </c>
      <c r="C21" s="44" t="s">
        <v>30</v>
      </c>
      <c r="D21" s="45">
        <v>89010.219999999987</v>
      </c>
      <c r="E21" s="45">
        <v>89010.219999999987</v>
      </c>
      <c r="F21" s="46">
        <v>1</v>
      </c>
      <c r="G21" s="45">
        <v>89010.219999999987</v>
      </c>
      <c r="H21" s="46">
        <v>1</v>
      </c>
      <c r="I21" s="45">
        <v>89010.219999999987</v>
      </c>
      <c r="J21" s="46">
        <v>1</v>
      </c>
      <c r="K21" s="45">
        <v>0</v>
      </c>
      <c r="L21" s="46">
        <v>0</v>
      </c>
    </row>
    <row r="22" spans="1:12" x14ac:dyDescent="0.25">
      <c r="A22" s="44" t="s">
        <v>54</v>
      </c>
      <c r="B22" s="44" t="s">
        <v>85</v>
      </c>
      <c r="C22" s="44" t="s">
        <v>30</v>
      </c>
      <c r="D22" s="45">
        <v>88239.10000000002</v>
      </c>
      <c r="E22" s="45">
        <v>88239.10000000002</v>
      </c>
      <c r="F22" s="46">
        <v>1</v>
      </c>
      <c r="G22" s="45">
        <v>88239.10000000002</v>
      </c>
      <c r="H22" s="46">
        <v>1</v>
      </c>
      <c r="I22" s="45">
        <v>0</v>
      </c>
      <c r="J22" s="46">
        <v>0</v>
      </c>
      <c r="K22" s="45">
        <v>0</v>
      </c>
      <c r="L22" s="46">
        <v>0</v>
      </c>
    </row>
    <row r="23" spans="1:12" x14ac:dyDescent="0.25">
      <c r="A23" s="44" t="s">
        <v>54</v>
      </c>
      <c r="B23" s="44" t="s">
        <v>86</v>
      </c>
      <c r="C23" s="44" t="s">
        <v>30</v>
      </c>
      <c r="D23" s="45">
        <v>61132.493900000001</v>
      </c>
      <c r="E23" s="45">
        <v>61132.493900000001</v>
      </c>
      <c r="F23" s="46">
        <v>1</v>
      </c>
      <c r="G23" s="45">
        <v>0</v>
      </c>
      <c r="H23" s="46">
        <v>0</v>
      </c>
      <c r="I23" s="45">
        <v>0</v>
      </c>
      <c r="J23" s="46">
        <v>0</v>
      </c>
      <c r="K23" s="45">
        <v>0</v>
      </c>
      <c r="L23" s="46">
        <v>0</v>
      </c>
    </row>
    <row r="24" spans="1:12" x14ac:dyDescent="0.25">
      <c r="A24" s="44" t="s">
        <v>54</v>
      </c>
      <c r="B24" s="44" t="s">
        <v>88</v>
      </c>
      <c r="C24" s="44" t="s">
        <v>63</v>
      </c>
      <c r="D24" s="45">
        <v>62868.84</v>
      </c>
      <c r="E24" s="45">
        <v>20432.373</v>
      </c>
      <c r="F24" s="46">
        <v>0.32500000000000001</v>
      </c>
      <c r="G24" s="45">
        <v>18860.651999999998</v>
      </c>
      <c r="H24" s="46">
        <v>0.3</v>
      </c>
      <c r="I24" s="45">
        <v>14145.489</v>
      </c>
      <c r="J24" s="46">
        <v>0.22500000000000001</v>
      </c>
      <c r="K24" s="45">
        <v>0</v>
      </c>
      <c r="L24" s="46">
        <v>0</v>
      </c>
    </row>
    <row r="25" spans="1:12" x14ac:dyDescent="0.25">
      <c r="A25" s="44" t="s">
        <v>54</v>
      </c>
      <c r="B25" s="44" t="s">
        <v>91</v>
      </c>
      <c r="C25" s="44" t="s">
        <v>63</v>
      </c>
      <c r="D25" s="45">
        <v>76828.36</v>
      </c>
      <c r="E25" s="45">
        <v>0</v>
      </c>
      <c r="F25" s="46">
        <v>0</v>
      </c>
      <c r="G25" s="45">
        <v>0</v>
      </c>
      <c r="H25" s="46">
        <v>0</v>
      </c>
      <c r="I25" s="45">
        <v>0</v>
      </c>
      <c r="J25" s="46">
        <v>0</v>
      </c>
      <c r="K25" s="45">
        <v>0</v>
      </c>
      <c r="L25" s="46">
        <v>0</v>
      </c>
    </row>
    <row r="26" spans="1:12" x14ac:dyDescent="0.25">
      <c r="A26" s="44" t="s">
        <v>27</v>
      </c>
      <c r="B26" s="44" t="s">
        <v>28</v>
      </c>
      <c r="C26" s="44" t="s">
        <v>30</v>
      </c>
      <c r="D26" s="45">
        <v>166217.75</v>
      </c>
      <c r="E26" s="45">
        <v>166217.75</v>
      </c>
      <c r="F26" s="46">
        <v>1</v>
      </c>
      <c r="G26" s="45">
        <v>166217.75</v>
      </c>
      <c r="H26" s="46">
        <v>1</v>
      </c>
      <c r="I26" s="45">
        <v>166217.75</v>
      </c>
      <c r="J26" s="46">
        <v>1</v>
      </c>
      <c r="K26" s="45">
        <v>0</v>
      </c>
      <c r="L26" s="46">
        <v>0</v>
      </c>
    </row>
    <row r="27" spans="1:12" ht="45" x14ac:dyDescent="0.25">
      <c r="A27" s="44" t="s">
        <v>27</v>
      </c>
      <c r="B27" s="44" t="s">
        <v>96</v>
      </c>
      <c r="C27" s="44" t="s">
        <v>32</v>
      </c>
      <c r="D27" s="45">
        <v>10000</v>
      </c>
      <c r="E27" s="45">
        <v>10000</v>
      </c>
      <c r="F27" s="46">
        <v>1</v>
      </c>
      <c r="G27" s="45">
        <v>10000</v>
      </c>
      <c r="H27" s="46">
        <v>1</v>
      </c>
      <c r="I27" s="45">
        <v>10000</v>
      </c>
      <c r="J27" s="46">
        <v>1</v>
      </c>
      <c r="K27" s="47"/>
      <c r="L27" s="47"/>
    </row>
    <row r="28" spans="1:12" x14ac:dyDescent="0.25">
      <c r="A28" s="44" t="s">
        <v>27</v>
      </c>
      <c r="B28" s="44" t="s">
        <v>31</v>
      </c>
      <c r="C28" s="44" t="s">
        <v>33</v>
      </c>
      <c r="D28" s="45">
        <v>105523.13032</v>
      </c>
      <c r="E28" s="45">
        <v>105523.13032</v>
      </c>
      <c r="F28" s="46">
        <v>1</v>
      </c>
      <c r="G28" s="45">
        <v>105523.13032</v>
      </c>
      <c r="H28" s="46">
        <v>1</v>
      </c>
      <c r="I28" s="45">
        <v>105523.13032</v>
      </c>
      <c r="J28" s="46">
        <v>1</v>
      </c>
      <c r="K28" s="45">
        <v>0</v>
      </c>
      <c r="L28" s="46">
        <v>0</v>
      </c>
    </row>
    <row r="29" spans="1:12" ht="45" x14ac:dyDescent="0.25">
      <c r="A29" s="44" t="s">
        <v>27</v>
      </c>
      <c r="B29" s="44" t="s">
        <v>97</v>
      </c>
      <c r="C29" s="44" t="s">
        <v>35</v>
      </c>
      <c r="D29" s="45">
        <v>8130</v>
      </c>
      <c r="E29" s="45">
        <v>8130</v>
      </c>
      <c r="F29" s="46">
        <v>1</v>
      </c>
      <c r="G29" s="45">
        <v>8130</v>
      </c>
      <c r="H29" s="46">
        <v>1</v>
      </c>
      <c r="I29" s="45">
        <v>8130</v>
      </c>
      <c r="J29" s="46">
        <v>1</v>
      </c>
      <c r="K29" s="47"/>
      <c r="L29" s="47"/>
    </row>
    <row r="30" spans="1:12" x14ac:dyDescent="0.25">
      <c r="A30" s="44" t="s">
        <v>27</v>
      </c>
      <c r="B30" s="44" t="s">
        <v>34</v>
      </c>
      <c r="C30" s="44" t="s">
        <v>36</v>
      </c>
      <c r="D30" s="45">
        <v>23734.43</v>
      </c>
      <c r="E30" s="45">
        <v>23734.43</v>
      </c>
      <c r="F30" s="46">
        <v>1</v>
      </c>
      <c r="G30" s="45">
        <v>23734.43</v>
      </c>
      <c r="H30" s="46">
        <v>1</v>
      </c>
      <c r="I30" s="45">
        <v>23734.43</v>
      </c>
      <c r="J30" s="46">
        <v>1</v>
      </c>
      <c r="K30" s="45">
        <v>23734.43</v>
      </c>
      <c r="L30" s="46">
        <v>1</v>
      </c>
    </row>
    <row r="31" spans="1:12" x14ac:dyDescent="0.25">
      <c r="A31" s="44" t="s">
        <v>27</v>
      </c>
      <c r="B31" s="44" t="s">
        <v>95</v>
      </c>
      <c r="C31" s="44" t="s">
        <v>29</v>
      </c>
      <c r="D31" s="45">
        <v>38873.682999999997</v>
      </c>
      <c r="E31" s="45">
        <v>38873.682999999997</v>
      </c>
      <c r="F31" s="46">
        <v>1</v>
      </c>
      <c r="G31" s="45">
        <v>38873.682999999997</v>
      </c>
      <c r="H31" s="46">
        <v>1</v>
      </c>
      <c r="I31" s="45">
        <v>38873.682999999997</v>
      </c>
      <c r="J31" s="46">
        <v>1</v>
      </c>
      <c r="K31" s="47"/>
      <c r="L31" s="47"/>
    </row>
    <row r="32" spans="1:12" x14ac:dyDescent="0.25">
      <c r="A32" s="44" t="s">
        <v>37</v>
      </c>
      <c r="B32" s="44" t="s">
        <v>38</v>
      </c>
      <c r="C32" s="44" t="s">
        <v>30</v>
      </c>
      <c r="D32" s="45">
        <v>176865.63999999998</v>
      </c>
      <c r="E32" s="45">
        <v>176865.63999999998</v>
      </c>
      <c r="F32" s="46">
        <v>1</v>
      </c>
      <c r="G32" s="45">
        <v>176865.63999999998</v>
      </c>
      <c r="H32" s="46">
        <v>1</v>
      </c>
      <c r="I32" s="45">
        <v>176865.63999999998</v>
      </c>
      <c r="J32" s="46">
        <v>1</v>
      </c>
      <c r="K32" s="45">
        <v>0</v>
      </c>
      <c r="L32" s="46">
        <v>0</v>
      </c>
    </row>
    <row r="33" spans="1:12" ht="45" x14ac:dyDescent="0.25">
      <c r="A33" s="44" t="s">
        <v>37</v>
      </c>
      <c r="B33" s="44" t="s">
        <v>98</v>
      </c>
      <c r="C33" s="44" t="s">
        <v>40</v>
      </c>
      <c r="D33" s="45">
        <v>28853.47</v>
      </c>
      <c r="E33" s="45">
        <v>28853.47</v>
      </c>
      <c r="F33" s="46">
        <v>1</v>
      </c>
      <c r="G33" s="45">
        <v>28853.47</v>
      </c>
      <c r="H33" s="46">
        <v>1</v>
      </c>
      <c r="I33" s="45">
        <v>28853.47</v>
      </c>
      <c r="J33" s="46">
        <v>1</v>
      </c>
      <c r="K33" s="47"/>
      <c r="L33" s="47"/>
    </row>
    <row r="34" spans="1:12" x14ac:dyDescent="0.25">
      <c r="A34" s="44" t="s">
        <v>37</v>
      </c>
      <c r="B34" s="44" t="s">
        <v>39</v>
      </c>
      <c r="C34" s="44" t="s">
        <v>41</v>
      </c>
      <c r="D34" s="45">
        <v>48011.730000000018</v>
      </c>
      <c r="E34" s="45">
        <v>48011.730000000018</v>
      </c>
      <c r="F34" s="46">
        <v>1</v>
      </c>
      <c r="G34" s="45">
        <v>48011.730000000018</v>
      </c>
      <c r="H34" s="46">
        <v>1</v>
      </c>
      <c r="I34" s="45">
        <v>48011.730000000018</v>
      </c>
      <c r="J34" s="46">
        <v>1</v>
      </c>
      <c r="K34" s="45">
        <v>0</v>
      </c>
      <c r="L34" s="46">
        <v>0</v>
      </c>
    </row>
    <row r="35" spans="1:12" x14ac:dyDescent="0.25">
      <c r="A35" s="44" t="s">
        <v>48</v>
      </c>
      <c r="B35" s="44" t="s">
        <v>50</v>
      </c>
      <c r="C35" s="44" t="s">
        <v>30</v>
      </c>
      <c r="D35" s="45">
        <v>161909.82999999999</v>
      </c>
      <c r="E35" s="45">
        <v>161909.82999999999</v>
      </c>
      <c r="F35" s="46">
        <v>1</v>
      </c>
      <c r="G35" s="45">
        <v>161909.82999999999</v>
      </c>
      <c r="H35" s="46">
        <v>1</v>
      </c>
      <c r="I35" s="45">
        <v>161909.82999999999</v>
      </c>
      <c r="J35" s="46">
        <v>1</v>
      </c>
      <c r="K35" s="45">
        <v>0</v>
      </c>
      <c r="L35" s="46">
        <v>0</v>
      </c>
    </row>
    <row r="36" spans="1:12" ht="45" x14ac:dyDescent="0.25">
      <c r="A36" s="44" t="s">
        <v>48</v>
      </c>
      <c r="B36" s="44" t="s">
        <v>99</v>
      </c>
      <c r="C36" s="44" t="s">
        <v>40</v>
      </c>
      <c r="D36" s="45">
        <v>36020.75</v>
      </c>
      <c r="E36" s="45">
        <v>36020.75</v>
      </c>
      <c r="F36" s="46">
        <v>1</v>
      </c>
      <c r="G36" s="45">
        <v>36020.75</v>
      </c>
      <c r="H36" s="46">
        <v>1</v>
      </c>
      <c r="I36" s="45">
        <v>36020.75</v>
      </c>
      <c r="J36" s="46">
        <v>1</v>
      </c>
      <c r="K36" s="47"/>
      <c r="L36" s="47"/>
    </row>
    <row r="37" spans="1:12" x14ac:dyDescent="0.25">
      <c r="A37" s="44" t="s">
        <v>48</v>
      </c>
      <c r="B37" s="44" t="s">
        <v>49</v>
      </c>
      <c r="C37" s="44" t="s">
        <v>41</v>
      </c>
      <c r="D37" s="45">
        <v>161909.82999999999</v>
      </c>
      <c r="E37" s="45">
        <v>161909.82999999999</v>
      </c>
      <c r="F37" s="46">
        <v>1</v>
      </c>
      <c r="G37" s="45">
        <v>161909.82999999999</v>
      </c>
      <c r="H37" s="46">
        <v>1</v>
      </c>
      <c r="I37" s="45">
        <v>161909.82999999999</v>
      </c>
      <c r="J37" s="46">
        <v>1</v>
      </c>
      <c r="K37" s="45">
        <v>0</v>
      </c>
      <c r="L37" s="46">
        <v>0</v>
      </c>
    </row>
    <row r="38" spans="1:12" x14ac:dyDescent="0.25">
      <c r="A38" s="44" t="s">
        <v>48</v>
      </c>
      <c r="B38" s="44" t="s">
        <v>53</v>
      </c>
      <c r="C38" s="44" t="s">
        <v>30</v>
      </c>
      <c r="D38" s="45">
        <v>38583.480000000003</v>
      </c>
      <c r="E38" s="45">
        <v>38583.480000000003</v>
      </c>
      <c r="F38" s="46">
        <v>1</v>
      </c>
      <c r="G38" s="45">
        <v>38583.480000000003</v>
      </c>
      <c r="H38" s="46">
        <v>1</v>
      </c>
      <c r="I38" s="45">
        <v>38583.480000000003</v>
      </c>
      <c r="J38" s="46">
        <v>1</v>
      </c>
      <c r="K38" s="45">
        <v>350.74984454545466</v>
      </c>
      <c r="L38" s="46">
        <v>9.0906741575787001E-3</v>
      </c>
    </row>
    <row r="39" spans="1:12" x14ac:dyDescent="0.25">
      <c r="A39" s="44" t="s">
        <v>42</v>
      </c>
      <c r="B39" s="44" t="s">
        <v>43</v>
      </c>
      <c r="C39" s="44" t="s">
        <v>30</v>
      </c>
      <c r="D39" s="45">
        <v>117331.46</v>
      </c>
      <c r="E39" s="45">
        <v>117331.46</v>
      </c>
      <c r="F39" s="46">
        <v>1</v>
      </c>
      <c r="G39" s="45">
        <v>117331.46</v>
      </c>
      <c r="H39" s="46">
        <v>1</v>
      </c>
      <c r="I39" s="45">
        <v>117331.46</v>
      </c>
      <c r="J39" s="46">
        <v>1</v>
      </c>
      <c r="K39" s="45">
        <v>117331.46</v>
      </c>
      <c r="L39" s="46">
        <v>1</v>
      </c>
    </row>
    <row r="40" spans="1:12" ht="45" x14ac:dyDescent="0.25">
      <c r="A40" s="44" t="s">
        <v>42</v>
      </c>
      <c r="B40" s="44" t="s">
        <v>100</v>
      </c>
      <c r="C40" s="44" t="s">
        <v>40</v>
      </c>
      <c r="D40" s="45">
        <v>32085.040000000001</v>
      </c>
      <c r="E40" s="45">
        <v>32085.040000000001</v>
      </c>
      <c r="F40" s="46">
        <v>1</v>
      </c>
      <c r="G40" s="45">
        <v>32085.040000000001</v>
      </c>
      <c r="H40" s="46">
        <v>1</v>
      </c>
      <c r="I40" s="45">
        <v>32085.040000000001</v>
      </c>
      <c r="J40" s="46">
        <v>1</v>
      </c>
      <c r="K40" s="47"/>
      <c r="L40" s="47"/>
    </row>
    <row r="41" spans="1:12" x14ac:dyDescent="0.25">
      <c r="A41" s="44" t="s">
        <v>42</v>
      </c>
      <c r="B41" s="44" t="s">
        <v>44</v>
      </c>
      <c r="C41" s="44" t="s">
        <v>41</v>
      </c>
      <c r="D41" s="45">
        <v>52880.41</v>
      </c>
      <c r="E41" s="45">
        <v>52880.41</v>
      </c>
      <c r="F41" s="46">
        <v>1</v>
      </c>
      <c r="G41" s="45">
        <v>52880.41</v>
      </c>
      <c r="H41" s="46">
        <v>1</v>
      </c>
      <c r="I41" s="45">
        <v>52880.41</v>
      </c>
      <c r="J41" s="46">
        <v>1</v>
      </c>
      <c r="K41" s="45">
        <v>0</v>
      </c>
      <c r="L41" s="46">
        <v>0</v>
      </c>
    </row>
    <row r="42" spans="1:12" x14ac:dyDescent="0.25">
      <c r="A42" s="44" t="s">
        <v>42</v>
      </c>
      <c r="B42" s="44" t="s">
        <v>45</v>
      </c>
      <c r="C42" s="44" t="s">
        <v>46</v>
      </c>
      <c r="D42" s="45">
        <v>45121.45</v>
      </c>
      <c r="E42" s="45">
        <v>45121.45</v>
      </c>
      <c r="F42" s="46">
        <v>1</v>
      </c>
      <c r="G42" s="45">
        <v>45121.45</v>
      </c>
      <c r="H42" s="46">
        <v>1</v>
      </c>
      <c r="I42" s="45">
        <v>45121.45</v>
      </c>
      <c r="J42" s="46">
        <v>1</v>
      </c>
      <c r="K42" s="45">
        <v>45121.45</v>
      </c>
      <c r="L42" s="46">
        <v>1</v>
      </c>
    </row>
    <row r="43" spans="1:12" x14ac:dyDescent="0.25">
      <c r="A43" s="44" t="s">
        <v>42</v>
      </c>
      <c r="B43" s="44" t="s">
        <v>92</v>
      </c>
      <c r="C43" s="44" t="s">
        <v>30</v>
      </c>
      <c r="D43" s="45">
        <v>23707.337294800007</v>
      </c>
      <c r="E43" s="45">
        <v>23707.337294800007</v>
      </c>
      <c r="F43" s="46">
        <v>1</v>
      </c>
      <c r="G43" s="45">
        <v>23707.337294800007</v>
      </c>
      <c r="H43" s="46">
        <v>1</v>
      </c>
      <c r="I43" s="45">
        <v>23707.337294800007</v>
      </c>
      <c r="J43" s="46">
        <v>1</v>
      </c>
      <c r="K43" s="45">
        <v>0</v>
      </c>
      <c r="L43" s="46">
        <v>0</v>
      </c>
    </row>
    <row r="44" spans="1:12" x14ac:dyDescent="0.25">
      <c r="A44" s="44" t="s">
        <v>128</v>
      </c>
      <c r="B44" s="44" t="s">
        <v>128</v>
      </c>
      <c r="C44" s="44" t="s">
        <v>30</v>
      </c>
      <c r="D44" s="45">
        <v>733.58</v>
      </c>
      <c r="E44" s="45">
        <v>0</v>
      </c>
      <c r="F44" s="46">
        <v>0</v>
      </c>
      <c r="G44" s="45">
        <v>0</v>
      </c>
      <c r="H44" s="46">
        <v>0</v>
      </c>
      <c r="I44" s="45">
        <v>0</v>
      </c>
      <c r="J44" s="46">
        <v>0</v>
      </c>
      <c r="K44" s="47"/>
      <c r="L44" s="47"/>
    </row>
    <row r="45" spans="1:12" x14ac:dyDescent="0.25">
      <c r="A45" s="44" t="s">
        <v>47</v>
      </c>
      <c r="B45" s="44" t="s">
        <v>47</v>
      </c>
      <c r="C45" s="44" t="s">
        <v>30</v>
      </c>
      <c r="D45" s="45">
        <v>231366.76</v>
      </c>
      <c r="E45" s="45">
        <v>231366.76</v>
      </c>
      <c r="F45" s="46">
        <v>1</v>
      </c>
      <c r="G45" s="45">
        <v>231366.76</v>
      </c>
      <c r="H45" s="46">
        <v>1</v>
      </c>
      <c r="I45" s="45">
        <v>231366.76</v>
      </c>
      <c r="J45" s="46">
        <v>1</v>
      </c>
      <c r="K45" s="45">
        <v>197529.26080194977</v>
      </c>
      <c r="L45" s="46">
        <v>0.85374952219562461</v>
      </c>
    </row>
    <row r="46" spans="1:12" x14ac:dyDescent="0.25">
      <c r="A46" s="44" t="s">
        <v>51</v>
      </c>
      <c r="B46" s="44" t="s">
        <v>73</v>
      </c>
      <c r="C46" s="44" t="s">
        <v>30</v>
      </c>
      <c r="D46" s="45">
        <v>37063.279999999999</v>
      </c>
      <c r="E46" s="45">
        <v>37063.279999999999</v>
      </c>
      <c r="F46" s="46">
        <v>1</v>
      </c>
      <c r="G46" s="45">
        <v>37063.279999999999</v>
      </c>
      <c r="H46" s="46">
        <v>1</v>
      </c>
      <c r="I46" s="45">
        <v>32430.37</v>
      </c>
      <c r="J46" s="46">
        <v>0.875</v>
      </c>
      <c r="K46" s="45">
        <v>0</v>
      </c>
      <c r="L46" s="46">
        <v>0</v>
      </c>
    </row>
    <row r="47" spans="1:12" x14ac:dyDescent="0.25">
      <c r="A47" s="44" t="s">
        <v>51</v>
      </c>
      <c r="B47" s="44" t="s">
        <v>73</v>
      </c>
      <c r="C47" s="44" t="s">
        <v>46</v>
      </c>
      <c r="D47" s="45">
        <v>37063.279999999999</v>
      </c>
      <c r="E47" s="45">
        <v>28826.995555555553</v>
      </c>
      <c r="F47" s="46">
        <v>0.77777777777777779</v>
      </c>
      <c r="G47" s="45">
        <v>28826.995555555553</v>
      </c>
      <c r="H47" s="46">
        <v>0.77777777777777779</v>
      </c>
      <c r="I47" s="45">
        <v>26767.924444444445</v>
      </c>
      <c r="J47" s="46">
        <v>0.72222222222222221</v>
      </c>
      <c r="K47" s="45">
        <v>0</v>
      </c>
      <c r="L47" s="46">
        <v>0</v>
      </c>
    </row>
    <row r="48" spans="1:12" x14ac:dyDescent="0.25">
      <c r="A48" s="44" t="s">
        <v>51</v>
      </c>
      <c r="B48" s="44" t="s">
        <v>73</v>
      </c>
      <c r="C48" s="44" t="s">
        <v>74</v>
      </c>
      <c r="D48" s="45">
        <v>37063.279999999999</v>
      </c>
      <c r="E48" s="45">
        <v>37063.279999999999</v>
      </c>
      <c r="F48" s="46">
        <v>1</v>
      </c>
      <c r="G48" s="45">
        <v>37063.279999999999</v>
      </c>
      <c r="H48" s="46">
        <v>1</v>
      </c>
      <c r="I48" s="45">
        <v>0</v>
      </c>
      <c r="J48" s="46">
        <v>0</v>
      </c>
      <c r="K48" s="45">
        <v>0</v>
      </c>
      <c r="L48" s="46">
        <v>0</v>
      </c>
    </row>
    <row r="49" spans="1:12" x14ac:dyDescent="0.25">
      <c r="A49" s="44" t="s">
        <v>51</v>
      </c>
      <c r="B49" s="44" t="s">
        <v>72</v>
      </c>
      <c r="C49" s="44" t="s">
        <v>46</v>
      </c>
      <c r="D49" s="45">
        <v>112594.34</v>
      </c>
      <c r="E49" s="45">
        <v>112594.34</v>
      </c>
      <c r="F49" s="46">
        <v>1</v>
      </c>
      <c r="G49" s="45">
        <v>112594.34</v>
      </c>
      <c r="H49" s="46">
        <v>1</v>
      </c>
      <c r="I49" s="45">
        <v>112594.34</v>
      </c>
      <c r="J49" s="46">
        <v>1</v>
      </c>
      <c r="K49" s="45">
        <v>0</v>
      </c>
      <c r="L49" s="46">
        <v>0</v>
      </c>
    </row>
    <row r="50" spans="1:12" x14ac:dyDescent="0.25">
      <c r="A50" s="44" t="s">
        <v>51</v>
      </c>
      <c r="B50" s="44" t="s">
        <v>69</v>
      </c>
      <c r="C50" s="44" t="s">
        <v>70</v>
      </c>
      <c r="D50" s="45">
        <v>103605.23999999983</v>
      </c>
      <c r="E50" s="45">
        <v>103605.23999999983</v>
      </c>
      <c r="F50" s="46">
        <v>1</v>
      </c>
      <c r="G50" s="45">
        <v>103605.23999999983</v>
      </c>
      <c r="H50" s="46">
        <v>1</v>
      </c>
      <c r="I50" s="45">
        <v>103605.23999999983</v>
      </c>
      <c r="J50" s="46">
        <v>1</v>
      </c>
      <c r="K50" s="45">
        <v>0</v>
      </c>
      <c r="L50" s="46">
        <v>0</v>
      </c>
    </row>
    <row r="51" spans="1:12" x14ac:dyDescent="0.25">
      <c r="A51" s="44" t="s">
        <v>51</v>
      </c>
      <c r="B51" s="44" t="s">
        <v>68</v>
      </c>
      <c r="C51" s="44" t="s">
        <v>30</v>
      </c>
      <c r="D51" s="45">
        <v>91700.06</v>
      </c>
      <c r="E51" s="45">
        <v>91700.06</v>
      </c>
      <c r="F51" s="46">
        <v>1</v>
      </c>
      <c r="G51" s="45">
        <v>91700.06</v>
      </c>
      <c r="H51" s="46">
        <v>1</v>
      </c>
      <c r="I51" s="45">
        <v>91700.06</v>
      </c>
      <c r="J51" s="46">
        <v>1</v>
      </c>
      <c r="K51" s="45">
        <v>9324.4140034894335</v>
      </c>
      <c r="L51" s="46">
        <v>0.10168383754044909</v>
      </c>
    </row>
    <row r="52" spans="1:12" x14ac:dyDescent="0.25">
      <c r="A52" s="44" t="s">
        <v>51</v>
      </c>
      <c r="B52" s="44" t="s">
        <v>68</v>
      </c>
      <c r="C52" s="44" t="s">
        <v>61</v>
      </c>
      <c r="D52" s="45">
        <v>3911.9090000000001</v>
      </c>
      <c r="E52" s="45">
        <v>3911.9090000000001</v>
      </c>
      <c r="F52" s="46">
        <v>1</v>
      </c>
      <c r="G52" s="45">
        <v>3911.9090000000001</v>
      </c>
      <c r="H52" s="46">
        <v>1</v>
      </c>
      <c r="I52" s="45">
        <v>3911.9090000000001</v>
      </c>
      <c r="J52" s="46">
        <v>1</v>
      </c>
      <c r="K52" s="45">
        <v>348.38469903147336</v>
      </c>
      <c r="L52" s="46">
        <v>8.9057465046214868E-2</v>
      </c>
    </row>
    <row r="53" spans="1:12" x14ac:dyDescent="0.25">
      <c r="A53" s="44" t="s">
        <v>51</v>
      </c>
      <c r="B53" s="44" t="s">
        <v>68</v>
      </c>
      <c r="C53" s="44" t="s">
        <v>46</v>
      </c>
      <c r="D53" s="45">
        <v>313.09100000000001</v>
      </c>
      <c r="E53" s="45">
        <v>313.09100000000001</v>
      </c>
      <c r="F53" s="46">
        <v>1</v>
      </c>
      <c r="G53" s="45">
        <v>313.09100000000001</v>
      </c>
      <c r="H53" s="46">
        <v>1</v>
      </c>
      <c r="I53" s="45">
        <v>313.09100000000001</v>
      </c>
      <c r="J53" s="46">
        <v>1</v>
      </c>
      <c r="K53" s="45">
        <v>313.09082429299076</v>
      </c>
      <c r="L53" s="46">
        <v>0.99999943879891395</v>
      </c>
    </row>
    <row r="54" spans="1:12" x14ac:dyDescent="0.25">
      <c r="A54" s="44" t="s">
        <v>51</v>
      </c>
      <c r="B54" s="44" t="s">
        <v>60</v>
      </c>
      <c r="C54" s="44" t="s">
        <v>30</v>
      </c>
      <c r="D54" s="45">
        <v>90800.14</v>
      </c>
      <c r="E54" s="45">
        <v>90800.14</v>
      </c>
      <c r="F54" s="46">
        <v>1</v>
      </c>
      <c r="G54" s="45">
        <v>90800.14</v>
      </c>
      <c r="H54" s="46">
        <v>1</v>
      </c>
      <c r="I54" s="45">
        <v>90800.14</v>
      </c>
      <c r="J54" s="46">
        <v>1</v>
      </c>
      <c r="K54" s="45">
        <v>10153.047824795449</v>
      </c>
      <c r="L54" s="46">
        <v>0.11181753491564494</v>
      </c>
    </row>
    <row r="55" spans="1:12" x14ac:dyDescent="0.25">
      <c r="A55" s="44" t="s">
        <v>51</v>
      </c>
      <c r="B55" s="44" t="s">
        <v>60</v>
      </c>
      <c r="C55" s="44" t="s">
        <v>61</v>
      </c>
      <c r="D55" s="45">
        <v>3099.45</v>
      </c>
      <c r="E55" s="45">
        <v>3099.45</v>
      </c>
      <c r="F55" s="46">
        <v>1</v>
      </c>
      <c r="G55" s="45">
        <v>3099.45</v>
      </c>
      <c r="H55" s="46">
        <v>1</v>
      </c>
      <c r="I55" s="45">
        <v>3099.45</v>
      </c>
      <c r="J55" s="46">
        <v>1</v>
      </c>
      <c r="K55" s="45">
        <v>316.12053666945536</v>
      </c>
      <c r="L55" s="46">
        <v>0.10199246210439122</v>
      </c>
    </row>
    <row r="56" spans="1:12" x14ac:dyDescent="0.25">
      <c r="A56" s="44" t="s">
        <v>51</v>
      </c>
      <c r="B56" s="44" t="s">
        <v>60</v>
      </c>
      <c r="C56" s="44" t="s">
        <v>46</v>
      </c>
      <c r="D56" s="45">
        <v>1909.55</v>
      </c>
      <c r="E56" s="45">
        <v>1909.55</v>
      </c>
      <c r="F56" s="46">
        <v>1</v>
      </c>
      <c r="G56" s="45">
        <v>1909.55</v>
      </c>
      <c r="H56" s="46">
        <v>1</v>
      </c>
      <c r="I56" s="45">
        <v>1909.55</v>
      </c>
      <c r="J56" s="46">
        <v>1</v>
      </c>
      <c r="K56" s="45">
        <v>1909.55</v>
      </c>
      <c r="L56" s="46">
        <v>1</v>
      </c>
    </row>
    <row r="57" spans="1:12" x14ac:dyDescent="0.25">
      <c r="A57" s="44" t="s">
        <v>51</v>
      </c>
      <c r="B57" s="44" t="s">
        <v>57</v>
      </c>
      <c r="C57" s="44" t="s">
        <v>30</v>
      </c>
      <c r="D57" s="45">
        <v>95335.08</v>
      </c>
      <c r="E57" s="45">
        <v>95335.08</v>
      </c>
      <c r="F57" s="46">
        <v>1</v>
      </c>
      <c r="G57" s="45">
        <v>95335.08</v>
      </c>
      <c r="H57" s="46">
        <v>1</v>
      </c>
      <c r="I57" s="45">
        <v>95335.08</v>
      </c>
      <c r="J57" s="46">
        <v>1</v>
      </c>
      <c r="K57" s="45">
        <v>10725.196913819915</v>
      </c>
      <c r="L57" s="46">
        <v>0.11250000434068881</v>
      </c>
    </row>
    <row r="58" spans="1:12" x14ac:dyDescent="0.25">
      <c r="A58" s="44" t="s">
        <v>51</v>
      </c>
      <c r="B58" s="44" t="s">
        <v>55</v>
      </c>
      <c r="C58" s="44" t="s">
        <v>30</v>
      </c>
      <c r="D58" s="45">
        <v>120097.08</v>
      </c>
      <c r="E58" s="45">
        <v>120097.08</v>
      </c>
      <c r="F58" s="46">
        <v>1</v>
      </c>
      <c r="G58" s="45">
        <v>120097.08</v>
      </c>
      <c r="H58" s="46">
        <v>1</v>
      </c>
      <c r="I58" s="45">
        <v>120097.08</v>
      </c>
      <c r="J58" s="46">
        <v>1</v>
      </c>
      <c r="K58" s="45">
        <v>0</v>
      </c>
      <c r="L58" s="46">
        <v>0</v>
      </c>
    </row>
    <row r="59" spans="1:12" x14ac:dyDescent="0.25">
      <c r="A59" s="44" t="s">
        <v>51</v>
      </c>
      <c r="B59" s="44" t="s">
        <v>55</v>
      </c>
      <c r="C59" s="44" t="s">
        <v>56</v>
      </c>
      <c r="D59" s="45">
        <v>377.43</v>
      </c>
      <c r="E59" s="45">
        <v>377.43</v>
      </c>
      <c r="F59" s="46">
        <v>1</v>
      </c>
      <c r="G59" s="45">
        <v>377.43</v>
      </c>
      <c r="H59" s="46">
        <v>1</v>
      </c>
      <c r="I59" s="45">
        <v>377.43</v>
      </c>
      <c r="J59" s="46">
        <v>1</v>
      </c>
      <c r="K59" s="45">
        <v>0</v>
      </c>
      <c r="L59" s="46">
        <v>0</v>
      </c>
    </row>
    <row r="60" spans="1:12" x14ac:dyDescent="0.25">
      <c r="A60" s="44" t="s">
        <v>51</v>
      </c>
      <c r="B60" s="44" t="s">
        <v>55</v>
      </c>
      <c r="C60" s="44" t="s">
        <v>46</v>
      </c>
      <c r="D60" s="45">
        <v>14276.64</v>
      </c>
      <c r="E60" s="45">
        <v>14276.64</v>
      </c>
      <c r="F60" s="46">
        <v>1</v>
      </c>
      <c r="G60" s="45">
        <v>14276.64</v>
      </c>
      <c r="H60" s="46">
        <v>1</v>
      </c>
      <c r="I60" s="45">
        <v>14276.64</v>
      </c>
      <c r="J60" s="46">
        <v>1</v>
      </c>
      <c r="K60" s="45">
        <v>0</v>
      </c>
      <c r="L60" s="46">
        <v>0</v>
      </c>
    </row>
    <row r="61" spans="1:12" x14ac:dyDescent="0.25">
      <c r="A61" s="44" t="s">
        <v>51</v>
      </c>
      <c r="B61" s="44" t="s">
        <v>52</v>
      </c>
      <c r="C61" s="44" t="s">
        <v>30</v>
      </c>
      <c r="D61" s="45">
        <v>68960.590000000026</v>
      </c>
      <c r="E61" s="45">
        <v>68960.590000000026</v>
      </c>
      <c r="F61" s="46">
        <v>1</v>
      </c>
      <c r="G61" s="45">
        <v>68960.590000000026</v>
      </c>
      <c r="H61" s="46">
        <v>1</v>
      </c>
      <c r="I61" s="45">
        <v>68960.590000000026</v>
      </c>
      <c r="J61" s="46">
        <v>1</v>
      </c>
      <c r="K61" s="45">
        <v>10984.872743362903</v>
      </c>
      <c r="L61" s="46">
        <v>0.15929203539823106</v>
      </c>
    </row>
    <row r="62" spans="1:12" ht="30" x14ac:dyDescent="0.25">
      <c r="A62" s="46" t="s">
        <v>114</v>
      </c>
      <c r="B62" s="46" t="s">
        <v>114</v>
      </c>
      <c r="C62" s="46" t="s">
        <v>114</v>
      </c>
      <c r="D62" s="46" t="s">
        <v>129</v>
      </c>
      <c r="E62" s="46" t="s">
        <v>130</v>
      </c>
      <c r="F62" s="46" t="s">
        <v>114</v>
      </c>
      <c r="G62" s="46" t="s">
        <v>131</v>
      </c>
      <c r="H62" s="46" t="s">
        <v>114</v>
      </c>
      <c r="I62" s="46" t="s">
        <v>132</v>
      </c>
      <c r="J62" s="46" t="s">
        <v>114</v>
      </c>
      <c r="K62" s="46" t="s">
        <v>115</v>
      </c>
      <c r="L62" s="46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34"/>
  <sheetViews>
    <sheetView workbookViewId="0">
      <selection activeCell="A2" sqref="A2:L69"/>
    </sheetView>
  </sheetViews>
  <sheetFormatPr defaultColWidth="27.5703125" defaultRowHeight="15" x14ac:dyDescent="0.25"/>
  <cols>
    <col min="1" max="1" width="12.5703125" bestFit="1" customWidth="1"/>
    <col min="2" max="2" width="14.42578125" bestFit="1" customWidth="1"/>
  </cols>
  <sheetData>
    <row r="1" spans="1:2" ht="28.5" thickBot="1" x14ac:dyDescent="0.3">
      <c r="A1" s="27" t="s">
        <v>4</v>
      </c>
      <c r="B1" s="28" t="s">
        <v>5</v>
      </c>
    </row>
    <row r="2" spans="1:2" x14ac:dyDescent="0.25">
      <c r="A2" s="29" t="s">
        <v>79</v>
      </c>
      <c r="B2" s="30">
        <v>66526.931673225015</v>
      </c>
    </row>
    <row r="3" spans="1:2" x14ac:dyDescent="0.25">
      <c r="A3" s="29" t="s">
        <v>80</v>
      </c>
      <c r="B3" s="30">
        <v>27322.570000000014</v>
      </c>
    </row>
    <row r="4" spans="1:2" x14ac:dyDescent="0.25">
      <c r="A4" s="29" t="s">
        <v>89</v>
      </c>
      <c r="B4" s="30">
        <v>7738.8999999999978</v>
      </c>
    </row>
    <row r="5" spans="1:2" x14ac:dyDescent="0.25">
      <c r="A5" s="29" t="s">
        <v>90</v>
      </c>
      <c r="B5" s="30">
        <v>12606.699999999992</v>
      </c>
    </row>
    <row r="6" spans="1:2" x14ac:dyDescent="0.25">
      <c r="A6" s="29" t="s">
        <v>87</v>
      </c>
      <c r="B6" s="30">
        <v>11821.4</v>
      </c>
    </row>
    <row r="7" spans="1:2" x14ac:dyDescent="0.25">
      <c r="A7" s="29" t="s">
        <v>93</v>
      </c>
      <c r="B7" s="30">
        <v>13649.199999999999</v>
      </c>
    </row>
    <row r="8" spans="1:2" x14ac:dyDescent="0.25">
      <c r="A8" s="29" t="s">
        <v>58</v>
      </c>
      <c r="B8" s="30">
        <v>18015.695291250002</v>
      </c>
    </row>
    <row r="9" spans="1:2" x14ac:dyDescent="0.25">
      <c r="A9" s="29" t="s">
        <v>77</v>
      </c>
      <c r="B9" s="30">
        <v>14499.954724850006</v>
      </c>
    </row>
    <row r="10" spans="1:2" x14ac:dyDescent="0.25">
      <c r="A10" s="29" t="s">
        <v>28</v>
      </c>
      <c r="B10" s="30">
        <v>166217.75</v>
      </c>
    </row>
    <row r="11" spans="1:2" x14ac:dyDescent="0.25">
      <c r="A11" s="29" t="s">
        <v>31</v>
      </c>
      <c r="B11" s="30">
        <v>115523.13232000002</v>
      </c>
    </row>
    <row r="12" spans="1:2" x14ac:dyDescent="0.25">
      <c r="A12" s="29" t="s">
        <v>34</v>
      </c>
      <c r="B12" s="30">
        <v>70738.11000000003</v>
      </c>
    </row>
    <row r="13" spans="1:2" x14ac:dyDescent="0.25">
      <c r="A13" s="29" t="s">
        <v>38</v>
      </c>
      <c r="B13" s="30">
        <v>202798.25000000006</v>
      </c>
    </row>
    <row r="14" spans="1:2" x14ac:dyDescent="0.25">
      <c r="A14" s="29" t="s">
        <v>39</v>
      </c>
      <c r="B14" s="30">
        <v>48011.73</v>
      </c>
    </row>
    <row r="15" spans="1:2" x14ac:dyDescent="0.25">
      <c r="A15" s="29" t="s">
        <v>50</v>
      </c>
      <c r="B15" s="30">
        <v>197930.57799999998</v>
      </c>
    </row>
    <row r="16" spans="1:2" x14ac:dyDescent="0.25">
      <c r="A16" s="29" t="s">
        <v>49</v>
      </c>
      <c r="B16" s="30">
        <v>161909.83048000006</v>
      </c>
    </row>
    <row r="17" spans="1:2" x14ac:dyDescent="0.25">
      <c r="A17" s="29" t="s">
        <v>53</v>
      </c>
      <c r="B17" s="30">
        <v>38583.48290000001</v>
      </c>
    </row>
    <row r="18" spans="1:2" x14ac:dyDescent="0.25">
      <c r="A18" s="29" t="s">
        <v>43</v>
      </c>
      <c r="B18" s="30">
        <v>117331.45999999993</v>
      </c>
    </row>
    <row r="19" spans="1:2" x14ac:dyDescent="0.25">
      <c r="A19" s="29" t="s">
        <v>44</v>
      </c>
      <c r="B19" s="30">
        <v>84965.450000000012</v>
      </c>
    </row>
    <row r="20" spans="1:2" x14ac:dyDescent="0.25">
      <c r="A20" s="29" t="s">
        <v>45</v>
      </c>
      <c r="B20" s="30">
        <v>45121.449139199991</v>
      </c>
    </row>
    <row r="21" spans="1:2" x14ac:dyDescent="0.25">
      <c r="A21" s="29" t="s">
        <v>92</v>
      </c>
      <c r="B21" s="30">
        <v>23254.952350000007</v>
      </c>
    </row>
    <row r="22" spans="1:2" x14ac:dyDescent="0.25">
      <c r="A22" s="29" t="s">
        <v>47</v>
      </c>
      <c r="B22" s="30">
        <v>231366.7587200001</v>
      </c>
    </row>
    <row r="23" spans="1:2" x14ac:dyDescent="0.25">
      <c r="A23" s="29" t="s">
        <v>72</v>
      </c>
      <c r="B23" s="30">
        <v>112594.33999999991</v>
      </c>
    </row>
    <row r="24" spans="1:2" x14ac:dyDescent="0.25">
      <c r="A24" s="29" t="s">
        <v>69</v>
      </c>
      <c r="B24" s="30">
        <v>103605.23999999992</v>
      </c>
    </row>
    <row r="25" spans="1:2" x14ac:dyDescent="0.25">
      <c r="A25" s="29" t="s">
        <v>68</v>
      </c>
      <c r="B25" s="30">
        <v>95925.060000000056</v>
      </c>
    </row>
    <row r="26" spans="1:2" x14ac:dyDescent="0.25">
      <c r="A26" s="29" t="s">
        <v>60</v>
      </c>
      <c r="B26" s="30">
        <v>95809.140000000029</v>
      </c>
    </row>
    <row r="27" spans="1:2" x14ac:dyDescent="0.25">
      <c r="A27" s="29" t="s">
        <v>57</v>
      </c>
      <c r="B27" s="30">
        <v>95330.383678400103</v>
      </c>
    </row>
    <row r="28" spans="1:2" x14ac:dyDescent="0.25">
      <c r="A28" s="29" t="s">
        <v>55</v>
      </c>
      <c r="B28" s="30">
        <v>134751.14999999991</v>
      </c>
    </row>
    <row r="29" spans="1:2" x14ac:dyDescent="0.25">
      <c r="A29" s="29" t="s">
        <v>52</v>
      </c>
      <c r="B29" s="30">
        <v>68960.590000000026</v>
      </c>
    </row>
    <row r="30" spans="1:2" x14ac:dyDescent="0.25">
      <c r="A30" s="29" t="s">
        <v>64</v>
      </c>
      <c r="B30" s="30">
        <v>87030.76</v>
      </c>
    </row>
    <row r="31" spans="1:2" x14ac:dyDescent="0.25">
      <c r="A31" s="29" t="s">
        <v>71</v>
      </c>
      <c r="B31" s="30">
        <v>82046.400000000009</v>
      </c>
    </row>
    <row r="32" spans="1:2" x14ac:dyDescent="0.25">
      <c r="A32" s="29" t="s">
        <v>75</v>
      </c>
      <c r="B32" s="30">
        <v>80497.159999999989</v>
      </c>
    </row>
    <row r="33" spans="1:2" x14ac:dyDescent="0.25">
      <c r="A33" s="29" t="s">
        <v>81</v>
      </c>
      <c r="B33" s="30">
        <v>89010.22</v>
      </c>
    </row>
    <row r="34" spans="1:2" x14ac:dyDescent="0.25">
      <c r="A34" s="29" t="s">
        <v>85</v>
      </c>
      <c r="B34" s="30">
        <v>88239.10000000002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34"/>
  <sheetViews>
    <sheetView workbookViewId="0">
      <selection activeCell="A2" sqref="A2:L69"/>
    </sheetView>
  </sheetViews>
  <sheetFormatPr defaultColWidth="33.28515625" defaultRowHeight="15" x14ac:dyDescent="0.25"/>
  <cols>
    <col min="1" max="1" width="12.5703125" bestFit="1" customWidth="1"/>
    <col min="2" max="2" width="14.42578125" bestFit="1" customWidth="1"/>
  </cols>
  <sheetData>
    <row r="1" spans="1:3" ht="28.5" thickBot="1" x14ac:dyDescent="0.3">
      <c r="A1" s="27" t="s">
        <v>4</v>
      </c>
      <c r="B1" s="28" t="s">
        <v>5</v>
      </c>
    </row>
    <row r="2" spans="1:3" x14ac:dyDescent="0.25">
      <c r="A2" s="31" t="s">
        <v>79</v>
      </c>
      <c r="B2" s="32">
        <v>66526.931673225001</v>
      </c>
      <c r="C2" t="str">
        <f>VLOOKUP(A2,tblProgress2[Block
DM],1,0)</f>
        <v>M00-CHEM</v>
      </c>
    </row>
    <row r="3" spans="1:3" x14ac:dyDescent="0.25">
      <c r="A3" s="31" t="s">
        <v>80</v>
      </c>
      <c r="B3" s="32">
        <v>27322.570000000014</v>
      </c>
      <c r="C3" t="str">
        <f>VLOOKUP(A3,tblProgress2[Block
DM],1,0)</f>
        <v>M00-CHEMB</v>
      </c>
    </row>
    <row r="4" spans="1:3" x14ac:dyDescent="0.25">
      <c r="A4" s="31" t="s">
        <v>89</v>
      </c>
      <c r="B4" s="32">
        <v>7738.9</v>
      </c>
      <c r="C4" t="str">
        <f>VLOOKUP(A4,tblProgress2[Block
DM],1,0)</f>
        <v>M00-LDCA</v>
      </c>
    </row>
    <row r="5" spans="1:3" x14ac:dyDescent="0.25">
      <c r="A5" s="31" t="s">
        <v>90</v>
      </c>
      <c r="B5" s="32">
        <v>12606.699999999997</v>
      </c>
      <c r="C5" t="str">
        <f>VLOOKUP(A5,tblProgress2[Block
DM],1,0)</f>
        <v>M00-LDPF</v>
      </c>
    </row>
    <row r="6" spans="1:3" x14ac:dyDescent="0.25">
      <c r="A6" s="31" t="s">
        <v>87</v>
      </c>
      <c r="B6" s="32">
        <v>11821.399999999998</v>
      </c>
      <c r="C6" t="str">
        <f>VLOOKUP(A6,tblProgress2[Block
DM],1,0)</f>
        <v>M00-LDSA</v>
      </c>
    </row>
    <row r="7" spans="1:3" x14ac:dyDescent="0.25">
      <c r="A7" s="31" t="s">
        <v>93</v>
      </c>
      <c r="B7" s="32">
        <v>13649.200000000003</v>
      </c>
      <c r="C7" t="str">
        <f>VLOOKUP(A7,tblProgress2[Block
DM],1,0)</f>
        <v>M00-LDSF</v>
      </c>
    </row>
    <row r="8" spans="1:3" x14ac:dyDescent="0.25">
      <c r="A8" s="31" t="s">
        <v>58</v>
      </c>
      <c r="B8" s="32">
        <v>18015.695291250006</v>
      </c>
      <c r="C8" t="str">
        <f>VLOOKUP(A8,tblProgress2[Block
DM],1,0)</f>
        <v>M00-SKID31</v>
      </c>
    </row>
    <row r="9" spans="1:3" x14ac:dyDescent="0.25">
      <c r="A9" s="31" t="s">
        <v>77</v>
      </c>
      <c r="B9" s="32">
        <v>14499.954724850006</v>
      </c>
      <c r="C9" t="str">
        <f>VLOOKUP(A9,tblProgress2[Block
DM],1,0)</f>
        <v>M00-SKID31B</v>
      </c>
    </row>
    <row r="10" spans="1:3" x14ac:dyDescent="0.25">
      <c r="A10" s="31" t="s">
        <v>28</v>
      </c>
      <c r="B10" s="32">
        <v>166217.75000000003</v>
      </c>
      <c r="C10" t="str">
        <f>VLOOKUP(A10,tblProgress2[Block
DM],1,0)</f>
        <v>M02A</v>
      </c>
    </row>
    <row r="11" spans="1:3" x14ac:dyDescent="0.25">
      <c r="A11" s="31" t="s">
        <v>31</v>
      </c>
      <c r="B11" s="32">
        <v>115523.13232000002</v>
      </c>
      <c r="C11" t="str">
        <f>VLOOKUP(A11,tblProgress2[Block
DM],1,0)</f>
        <v>M02B</v>
      </c>
    </row>
    <row r="12" spans="1:3" x14ac:dyDescent="0.25">
      <c r="A12" s="31" t="s">
        <v>34</v>
      </c>
      <c r="B12" s="32">
        <v>70738.109999999971</v>
      </c>
      <c r="C12" t="str">
        <f>VLOOKUP(A12,tblProgress2[Block
DM],1,0)</f>
        <v>M02C</v>
      </c>
    </row>
    <row r="13" spans="1:3" x14ac:dyDescent="0.25">
      <c r="A13" s="31" t="s">
        <v>38</v>
      </c>
      <c r="B13" s="32">
        <v>202798.24999999994</v>
      </c>
      <c r="C13" t="str">
        <f>VLOOKUP(A13,tblProgress2[Block
DM],1,0)</f>
        <v>M03A</v>
      </c>
    </row>
    <row r="14" spans="1:3" x14ac:dyDescent="0.25">
      <c r="A14" s="31" t="s">
        <v>39</v>
      </c>
      <c r="B14" s="32">
        <v>48011.729999999989</v>
      </c>
      <c r="C14" t="str">
        <f>VLOOKUP(A14,tblProgress2[Block
DM],1,0)</f>
        <v>M03B</v>
      </c>
    </row>
    <row r="15" spans="1:3" x14ac:dyDescent="0.25">
      <c r="A15" s="31" t="s">
        <v>50</v>
      </c>
      <c r="B15" s="32">
        <v>197930.57799999995</v>
      </c>
      <c r="C15" t="str">
        <f>VLOOKUP(A15,tblProgress2[Block
DM],1,0)</f>
        <v>M11A</v>
      </c>
    </row>
    <row r="16" spans="1:3" x14ac:dyDescent="0.25">
      <c r="A16" s="31" t="s">
        <v>49</v>
      </c>
      <c r="B16" s="32">
        <v>161909.83048</v>
      </c>
      <c r="C16" t="str">
        <f>VLOOKUP(A16,tblProgress2[Block
DM],1,0)</f>
        <v>M11B</v>
      </c>
    </row>
    <row r="17" spans="1:3" x14ac:dyDescent="0.25">
      <c r="A17" s="31" t="s">
        <v>53</v>
      </c>
      <c r="B17" s="32">
        <v>38583.482900000025</v>
      </c>
      <c r="C17" t="str">
        <f>VLOOKUP(A17,tblProgress2[Block
DM],1,0)</f>
        <v>M11D</v>
      </c>
    </row>
    <row r="18" spans="1:3" x14ac:dyDescent="0.25">
      <c r="A18" s="31" t="s">
        <v>43</v>
      </c>
      <c r="B18" s="32">
        <v>117331.45999999993</v>
      </c>
      <c r="C18" t="str">
        <f>VLOOKUP(A18,tblProgress2[Block
DM],1,0)</f>
        <v>M12A</v>
      </c>
    </row>
    <row r="19" spans="1:3" x14ac:dyDescent="0.25">
      <c r="A19" s="31" t="s">
        <v>44</v>
      </c>
      <c r="B19" s="32">
        <v>84965.450000000026</v>
      </c>
      <c r="C19" t="str">
        <f>VLOOKUP(A19,tblProgress2[Block
DM],1,0)</f>
        <v>M12B</v>
      </c>
    </row>
    <row r="20" spans="1:3" x14ac:dyDescent="0.25">
      <c r="A20" s="31" t="s">
        <v>45</v>
      </c>
      <c r="B20" s="32">
        <v>45121.449139199998</v>
      </c>
      <c r="C20" t="str">
        <f>VLOOKUP(A20,tblProgress2[Block
DM],1,0)</f>
        <v>M12C</v>
      </c>
    </row>
    <row r="21" spans="1:3" x14ac:dyDescent="0.25">
      <c r="A21" s="31" t="s">
        <v>92</v>
      </c>
      <c r="B21" s="32">
        <v>23254.952350000003</v>
      </c>
      <c r="C21" t="str">
        <f>VLOOKUP(A21,tblProgress2[Block
DM],1,0)</f>
        <v>M12L</v>
      </c>
    </row>
    <row r="22" spans="1:3" x14ac:dyDescent="0.25">
      <c r="A22" s="31" t="s">
        <v>47</v>
      </c>
      <c r="B22" s="32">
        <v>231366.75872000001</v>
      </c>
      <c r="C22" t="str">
        <f>VLOOKUP(A22,tblProgress2[Block
DM],1,0)</f>
        <v>M14</v>
      </c>
    </row>
    <row r="23" spans="1:3" x14ac:dyDescent="0.25">
      <c r="A23" s="31" t="s">
        <v>72</v>
      </c>
      <c r="B23" s="32">
        <v>112594.34000000001</v>
      </c>
      <c r="C23" t="str">
        <f>VLOOKUP(A23,tblProgress2[Block
DM],1,0)</f>
        <v>M172</v>
      </c>
    </row>
    <row r="24" spans="1:3" x14ac:dyDescent="0.25">
      <c r="A24" s="31" t="s">
        <v>69</v>
      </c>
      <c r="B24" s="32">
        <v>103605.23999999992</v>
      </c>
      <c r="C24" t="str">
        <f>VLOOKUP(A24,tblProgress2[Block
DM],1,0)</f>
        <v>M173</v>
      </c>
    </row>
    <row r="25" spans="1:3" x14ac:dyDescent="0.25">
      <c r="A25" s="31" t="s">
        <v>68</v>
      </c>
      <c r="B25" s="32">
        <v>95925.059999999954</v>
      </c>
      <c r="C25" t="str">
        <f>VLOOKUP(A25,tblProgress2[Block
DM],1,0)</f>
        <v>M174</v>
      </c>
    </row>
    <row r="26" spans="1:3" x14ac:dyDescent="0.25">
      <c r="A26" s="31" t="s">
        <v>60</v>
      </c>
      <c r="B26" s="32">
        <v>95809.140000000043</v>
      </c>
      <c r="C26" t="str">
        <f>VLOOKUP(A26,tblProgress2[Block
DM],1,0)</f>
        <v>M175</v>
      </c>
    </row>
    <row r="27" spans="1:3" x14ac:dyDescent="0.25">
      <c r="A27" s="31" t="s">
        <v>57</v>
      </c>
      <c r="B27" s="32">
        <v>95330.383678399972</v>
      </c>
      <c r="C27" t="str">
        <f>VLOOKUP(A27,tblProgress2[Block
DM],1,0)</f>
        <v>M176</v>
      </c>
    </row>
    <row r="28" spans="1:3" x14ac:dyDescent="0.25">
      <c r="A28" s="31" t="s">
        <v>55</v>
      </c>
      <c r="B28" s="32">
        <v>134751.15</v>
      </c>
      <c r="C28" t="str">
        <f>VLOOKUP(A28,tblProgress2[Block
DM],1,0)</f>
        <v>M177</v>
      </c>
    </row>
    <row r="29" spans="1:3" x14ac:dyDescent="0.25">
      <c r="A29" s="31" t="s">
        <v>52</v>
      </c>
      <c r="B29" s="32">
        <v>68960.590000000011</v>
      </c>
      <c r="C29" t="str">
        <f>VLOOKUP(A29,tblProgress2[Block
DM],1,0)</f>
        <v>M178</v>
      </c>
    </row>
    <row r="30" spans="1:3" x14ac:dyDescent="0.25">
      <c r="A30" s="31" t="s">
        <v>64</v>
      </c>
      <c r="B30" s="32">
        <v>87030.76</v>
      </c>
      <c r="C30" t="str">
        <f>VLOOKUP(A30,tblProgress2[Block
DM],1,0)</f>
        <v>PU2</v>
      </c>
    </row>
    <row r="31" spans="1:3" x14ac:dyDescent="0.25">
      <c r="A31" s="31" t="s">
        <v>71</v>
      </c>
      <c r="B31" s="32">
        <v>82046.400000000009</v>
      </c>
      <c r="C31" t="str">
        <f>VLOOKUP(A31,tblProgress2[Block
DM],1,0)</f>
        <v>PU3</v>
      </c>
    </row>
    <row r="32" spans="1:3" x14ac:dyDescent="0.25">
      <c r="A32" s="31" t="s">
        <v>75</v>
      </c>
      <c r="B32" s="32">
        <v>80497.160000000018</v>
      </c>
      <c r="C32" t="str">
        <f>VLOOKUP(A32,tblProgress2[Block
DM],1,0)</f>
        <v>PU4</v>
      </c>
    </row>
    <row r="33" spans="1:3" x14ac:dyDescent="0.25">
      <c r="A33" s="31" t="s">
        <v>81</v>
      </c>
      <c r="B33" s="32">
        <v>89010.219999999987</v>
      </c>
      <c r="C33" t="str">
        <f>VLOOKUP(A33,tblProgress2[Block
DM],1,0)</f>
        <v>PU5</v>
      </c>
    </row>
    <row r="34" spans="1:3" x14ac:dyDescent="0.25">
      <c r="A34" t="s">
        <v>85</v>
      </c>
      <c r="B34">
        <v>88239.10000000002</v>
      </c>
    </row>
  </sheetData>
  <autoFilter ref="A1:C30" xr:uid="{00000000-0009-0000-0000-00000B000000}"/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61"/>
  <sheetViews>
    <sheetView topLeftCell="A31" workbookViewId="0">
      <selection activeCell="C32" sqref="C32"/>
    </sheetView>
  </sheetViews>
  <sheetFormatPr defaultRowHeight="15" x14ac:dyDescent="0.25"/>
  <sheetData>
    <row r="1" spans="1:12" x14ac:dyDescent="0.25">
      <c r="A1" s="38" t="s">
        <v>102</v>
      </c>
      <c r="B1" s="38" t="s">
        <v>103</v>
      </c>
      <c r="C1" s="38" t="s">
        <v>104</v>
      </c>
      <c r="D1" s="38" t="s">
        <v>105</v>
      </c>
      <c r="E1" s="38" t="s">
        <v>106</v>
      </c>
      <c r="F1" s="38" t="s">
        <v>107</v>
      </c>
      <c r="G1" s="38" t="s">
        <v>108</v>
      </c>
      <c r="H1" s="38" t="s">
        <v>109</v>
      </c>
      <c r="I1" s="38" t="s">
        <v>110</v>
      </c>
      <c r="J1" s="38" t="s">
        <v>111</v>
      </c>
      <c r="K1" s="38" t="s">
        <v>112</v>
      </c>
      <c r="L1" s="38" t="s">
        <v>113</v>
      </c>
    </row>
    <row r="2" spans="1:12" x14ac:dyDescent="0.25">
      <c r="A2" s="39" t="s">
        <v>54</v>
      </c>
      <c r="B2" s="39" t="s">
        <v>82</v>
      </c>
      <c r="C2" s="39" t="s">
        <v>83</v>
      </c>
      <c r="D2" s="40">
        <v>61696.523999999998</v>
      </c>
      <c r="E2" s="40">
        <v>61696.523999999998</v>
      </c>
      <c r="F2" s="41">
        <v>1</v>
      </c>
      <c r="G2" s="40">
        <v>61696.523999999998</v>
      </c>
      <c r="H2" s="41">
        <v>1</v>
      </c>
      <c r="I2" s="40">
        <v>61696.523999999998</v>
      </c>
      <c r="J2" s="41">
        <v>1</v>
      </c>
      <c r="K2" s="40">
        <v>0</v>
      </c>
      <c r="L2" s="41">
        <v>0</v>
      </c>
    </row>
    <row r="3" spans="1:12" x14ac:dyDescent="0.25">
      <c r="A3" s="39" t="s">
        <v>54</v>
      </c>
      <c r="B3" s="39" t="s">
        <v>84</v>
      </c>
      <c r="C3" s="39" t="s">
        <v>83</v>
      </c>
      <c r="D3" s="40">
        <v>61512.597399999991</v>
      </c>
      <c r="E3" s="40">
        <v>61512.597399999991</v>
      </c>
      <c r="F3" s="41">
        <v>1</v>
      </c>
      <c r="G3" s="40">
        <v>0</v>
      </c>
      <c r="H3" s="41">
        <v>0</v>
      </c>
      <c r="I3" s="40">
        <v>0</v>
      </c>
      <c r="J3" s="41">
        <v>0</v>
      </c>
      <c r="K3" s="40">
        <v>0</v>
      </c>
      <c r="L3" s="41">
        <v>0</v>
      </c>
    </row>
    <row r="4" spans="1:12" x14ac:dyDescent="0.25">
      <c r="A4" s="39" t="s">
        <v>54</v>
      </c>
      <c r="B4" s="39" t="s">
        <v>94</v>
      </c>
      <c r="C4" s="39" t="s">
        <v>101</v>
      </c>
      <c r="D4" s="40">
        <v>116529.74</v>
      </c>
      <c r="E4" s="40">
        <v>58264.87</v>
      </c>
      <c r="F4" s="41">
        <v>0.5</v>
      </c>
      <c r="G4" s="40">
        <v>34958.921999999999</v>
      </c>
      <c r="H4" s="41">
        <v>0.3</v>
      </c>
      <c r="I4" s="40">
        <v>23305.948000000004</v>
      </c>
      <c r="J4" s="41">
        <v>0.2</v>
      </c>
      <c r="K4" s="40">
        <v>0</v>
      </c>
      <c r="L4" s="41">
        <v>0</v>
      </c>
    </row>
    <row r="5" spans="1:12" x14ac:dyDescent="0.25">
      <c r="A5" s="39" t="s">
        <v>54</v>
      </c>
      <c r="B5" s="39" t="s">
        <v>78</v>
      </c>
      <c r="C5" s="39" t="s">
        <v>59</v>
      </c>
      <c r="D5" s="40">
        <v>3632.6453241000008</v>
      </c>
      <c r="E5" s="40">
        <v>3632.6453241000008</v>
      </c>
      <c r="F5" s="41">
        <v>1</v>
      </c>
      <c r="G5" s="40">
        <v>3632.6453241000008</v>
      </c>
      <c r="H5" s="41">
        <v>1</v>
      </c>
      <c r="I5" s="40">
        <v>3632.6453241000008</v>
      </c>
      <c r="J5" s="41">
        <v>1</v>
      </c>
      <c r="K5" s="40">
        <v>82.560121002272751</v>
      </c>
      <c r="L5" s="41">
        <v>2.2727272727272728E-2</v>
      </c>
    </row>
    <row r="6" spans="1:12" ht="30" x14ac:dyDescent="0.25">
      <c r="A6" s="39" t="s">
        <v>54</v>
      </c>
      <c r="B6" s="39" t="s">
        <v>79</v>
      </c>
      <c r="C6" s="39" t="s">
        <v>59</v>
      </c>
      <c r="D6" s="40">
        <v>66526.931673225015</v>
      </c>
      <c r="E6" s="40">
        <v>66526.931673225015</v>
      </c>
      <c r="F6" s="41">
        <v>1</v>
      </c>
      <c r="G6" s="40">
        <v>66526.931673225015</v>
      </c>
      <c r="H6" s="41">
        <v>1</v>
      </c>
      <c r="I6" s="40">
        <v>66526.931673225015</v>
      </c>
      <c r="J6" s="41">
        <v>1</v>
      </c>
      <c r="K6" s="40">
        <v>0</v>
      </c>
      <c r="L6" s="41">
        <v>0</v>
      </c>
    </row>
    <row r="7" spans="1:12" ht="30" x14ac:dyDescent="0.25">
      <c r="A7" s="39" t="s">
        <v>54</v>
      </c>
      <c r="B7" s="39" t="s">
        <v>80</v>
      </c>
      <c r="C7" s="39" t="s">
        <v>59</v>
      </c>
      <c r="D7" s="40">
        <v>27322.570000000014</v>
      </c>
      <c r="E7" s="40">
        <v>27322.570000000014</v>
      </c>
      <c r="F7" s="41">
        <v>1</v>
      </c>
      <c r="G7" s="40">
        <v>27322.570000000014</v>
      </c>
      <c r="H7" s="41">
        <v>1</v>
      </c>
      <c r="I7" s="40">
        <v>27322.570000000014</v>
      </c>
      <c r="J7" s="41">
        <v>1</v>
      </c>
      <c r="K7" s="40">
        <v>0</v>
      </c>
      <c r="L7" s="41">
        <v>0</v>
      </c>
    </row>
    <row r="8" spans="1:12" ht="30" x14ac:dyDescent="0.25">
      <c r="A8" s="39" t="s">
        <v>54</v>
      </c>
      <c r="B8" s="39" t="s">
        <v>89</v>
      </c>
      <c r="C8" s="39" t="s">
        <v>59</v>
      </c>
      <c r="D8" s="40">
        <v>7738.9</v>
      </c>
      <c r="E8" s="40">
        <v>7738.9</v>
      </c>
      <c r="F8" s="41">
        <v>1</v>
      </c>
      <c r="G8" s="40">
        <v>7738.9</v>
      </c>
      <c r="H8" s="41">
        <v>1</v>
      </c>
      <c r="I8" s="40">
        <v>0</v>
      </c>
      <c r="J8" s="41">
        <v>0</v>
      </c>
      <c r="K8" s="40">
        <v>0</v>
      </c>
      <c r="L8" s="41">
        <v>0</v>
      </c>
    </row>
    <row r="9" spans="1:12" ht="30" x14ac:dyDescent="0.25">
      <c r="A9" s="39" t="s">
        <v>54</v>
      </c>
      <c r="B9" s="39" t="s">
        <v>90</v>
      </c>
      <c r="C9" s="39" t="s">
        <v>59</v>
      </c>
      <c r="D9" s="40">
        <v>12606.7</v>
      </c>
      <c r="E9" s="40">
        <v>12606.7</v>
      </c>
      <c r="F9" s="41">
        <v>1</v>
      </c>
      <c r="G9" s="40">
        <v>12606.7</v>
      </c>
      <c r="H9" s="41">
        <v>1</v>
      </c>
      <c r="I9" s="40">
        <v>12606.7</v>
      </c>
      <c r="J9" s="41">
        <v>1</v>
      </c>
      <c r="K9" s="40">
        <v>0</v>
      </c>
      <c r="L9" s="41">
        <v>0</v>
      </c>
    </row>
    <row r="10" spans="1:12" ht="30" x14ac:dyDescent="0.25">
      <c r="A10" s="39" t="s">
        <v>54</v>
      </c>
      <c r="B10" s="39" t="s">
        <v>87</v>
      </c>
      <c r="C10" s="39" t="s">
        <v>59</v>
      </c>
      <c r="D10" s="40">
        <v>7745.9</v>
      </c>
      <c r="E10" s="40">
        <v>7745.9</v>
      </c>
      <c r="F10" s="41">
        <v>1</v>
      </c>
      <c r="G10" s="40">
        <v>7745.9</v>
      </c>
      <c r="H10" s="41">
        <v>1</v>
      </c>
      <c r="I10" s="40">
        <v>7745.9</v>
      </c>
      <c r="J10" s="41">
        <v>1</v>
      </c>
      <c r="K10" s="40">
        <v>216.72407407407408</v>
      </c>
      <c r="L10" s="41">
        <v>2.7979198553308729E-2</v>
      </c>
    </row>
    <row r="11" spans="1:12" ht="30" x14ac:dyDescent="0.25">
      <c r="A11" s="39" t="s">
        <v>54</v>
      </c>
      <c r="B11" s="39" t="s">
        <v>93</v>
      </c>
      <c r="C11" s="39" t="s">
        <v>59</v>
      </c>
      <c r="D11" s="40">
        <v>13647.2</v>
      </c>
      <c r="E11" s="40">
        <v>13647.2</v>
      </c>
      <c r="F11" s="41">
        <v>1</v>
      </c>
      <c r="G11" s="40">
        <v>13647.2</v>
      </c>
      <c r="H11" s="41">
        <v>1</v>
      </c>
      <c r="I11" s="40">
        <v>13647.2</v>
      </c>
      <c r="J11" s="41">
        <v>1</v>
      </c>
      <c r="K11" s="40">
        <v>0</v>
      </c>
      <c r="L11" s="41">
        <v>0</v>
      </c>
    </row>
    <row r="12" spans="1:12" ht="30" x14ac:dyDescent="0.25">
      <c r="A12" s="39" t="s">
        <v>54</v>
      </c>
      <c r="B12" s="39" t="s">
        <v>58</v>
      </c>
      <c r="C12" s="39" t="s">
        <v>59</v>
      </c>
      <c r="D12" s="40">
        <v>18015.7</v>
      </c>
      <c r="E12" s="40">
        <v>18015.7</v>
      </c>
      <c r="F12" s="41">
        <v>1</v>
      </c>
      <c r="G12" s="40">
        <v>18015.7</v>
      </c>
      <c r="H12" s="41">
        <v>1</v>
      </c>
      <c r="I12" s="40">
        <v>18015.7</v>
      </c>
      <c r="J12" s="41">
        <v>1</v>
      </c>
      <c r="K12" s="40">
        <v>4230.9227077085816</v>
      </c>
      <c r="L12" s="41">
        <v>0.23484642327017999</v>
      </c>
    </row>
    <row r="13" spans="1:12" ht="30" x14ac:dyDescent="0.25">
      <c r="A13" s="39" t="s">
        <v>54</v>
      </c>
      <c r="B13" s="39" t="s">
        <v>77</v>
      </c>
      <c r="C13" s="39" t="s">
        <v>59</v>
      </c>
      <c r="D13" s="40">
        <v>14499.95</v>
      </c>
      <c r="E13" s="40">
        <v>14499.95</v>
      </c>
      <c r="F13" s="41">
        <v>1</v>
      </c>
      <c r="G13" s="40">
        <v>14499.95</v>
      </c>
      <c r="H13" s="41">
        <v>1</v>
      </c>
      <c r="I13" s="40">
        <v>14499.95</v>
      </c>
      <c r="J13" s="41">
        <v>1</v>
      </c>
      <c r="K13" s="40">
        <v>4423.4099160559299</v>
      </c>
      <c r="L13" s="41">
        <v>0.3050638047755978</v>
      </c>
    </row>
    <row r="14" spans="1:12" x14ac:dyDescent="0.25">
      <c r="A14" s="39" t="s">
        <v>54</v>
      </c>
      <c r="B14" s="39" t="s">
        <v>62</v>
      </c>
      <c r="C14" s="39" t="s">
        <v>63</v>
      </c>
      <c r="D14" s="40">
        <v>103272.7</v>
      </c>
      <c r="E14" s="40">
        <v>65224.863157894732</v>
      </c>
      <c r="F14" s="41">
        <v>0.63157894736842102</v>
      </c>
      <c r="G14" s="40">
        <v>59789.457894736843</v>
      </c>
      <c r="H14" s="41">
        <v>0.57894736842105265</v>
      </c>
      <c r="I14" s="40">
        <v>21741.621052631577</v>
      </c>
      <c r="J14" s="41">
        <v>0.21052631578947367</v>
      </c>
      <c r="K14" s="40">
        <v>0</v>
      </c>
      <c r="L14" s="41">
        <v>0</v>
      </c>
    </row>
    <row r="15" spans="1:12" x14ac:dyDescent="0.25">
      <c r="A15" s="39" t="s">
        <v>54</v>
      </c>
      <c r="B15" s="39" t="s">
        <v>64</v>
      </c>
      <c r="C15" s="39" t="s">
        <v>65</v>
      </c>
      <c r="D15" s="40">
        <v>21757.69</v>
      </c>
      <c r="E15" s="40">
        <v>0</v>
      </c>
      <c r="F15" s="41">
        <v>0</v>
      </c>
      <c r="G15" s="40">
        <v>0</v>
      </c>
      <c r="H15" s="41">
        <v>0</v>
      </c>
      <c r="I15" s="40">
        <v>0</v>
      </c>
      <c r="J15" s="41">
        <v>0</v>
      </c>
      <c r="K15" s="40">
        <v>2607.4421395327126</v>
      </c>
      <c r="L15" s="41">
        <v>0.11984002619454145</v>
      </c>
    </row>
    <row r="16" spans="1:12" x14ac:dyDescent="0.25">
      <c r="A16" s="39" t="s">
        <v>54</v>
      </c>
      <c r="B16" s="39" t="s">
        <v>64</v>
      </c>
      <c r="C16" s="39" t="s">
        <v>66</v>
      </c>
      <c r="D16" s="40">
        <v>21757.69</v>
      </c>
      <c r="E16" s="40">
        <v>14505.126666666665</v>
      </c>
      <c r="F16" s="41">
        <v>0.66666666666666663</v>
      </c>
      <c r="G16" s="40">
        <v>0</v>
      </c>
      <c r="H16" s="41">
        <v>0</v>
      </c>
      <c r="I16" s="40">
        <v>0</v>
      </c>
      <c r="J16" s="41">
        <v>0</v>
      </c>
      <c r="K16" s="40">
        <v>0</v>
      </c>
      <c r="L16" s="41">
        <v>0</v>
      </c>
    </row>
    <row r="17" spans="1:12" x14ac:dyDescent="0.25">
      <c r="A17" s="39" t="s">
        <v>54</v>
      </c>
      <c r="B17" s="39" t="s">
        <v>64</v>
      </c>
      <c r="C17" s="39" t="s">
        <v>63</v>
      </c>
      <c r="D17" s="40">
        <v>21757.69</v>
      </c>
      <c r="E17" s="40">
        <v>0</v>
      </c>
      <c r="F17" s="41">
        <v>0</v>
      </c>
      <c r="G17" s="40">
        <v>0</v>
      </c>
      <c r="H17" s="41">
        <v>0</v>
      </c>
      <c r="I17" s="40">
        <v>0</v>
      </c>
      <c r="J17" s="41">
        <v>0</v>
      </c>
      <c r="K17" s="40">
        <v>0</v>
      </c>
      <c r="L17" s="41">
        <v>0</v>
      </c>
    </row>
    <row r="18" spans="1:12" x14ac:dyDescent="0.25">
      <c r="A18" s="39" t="s">
        <v>54</v>
      </c>
      <c r="B18" s="39" t="s">
        <v>64</v>
      </c>
      <c r="C18" s="39" t="s">
        <v>67</v>
      </c>
      <c r="D18" s="40">
        <v>21757.69</v>
      </c>
      <c r="E18" s="40">
        <v>0</v>
      </c>
      <c r="F18" s="41">
        <v>0</v>
      </c>
      <c r="G18" s="40">
        <v>0</v>
      </c>
      <c r="H18" s="41">
        <v>0</v>
      </c>
      <c r="I18" s="40">
        <v>0</v>
      </c>
      <c r="J18" s="41">
        <v>0</v>
      </c>
      <c r="K18" s="40">
        <v>0</v>
      </c>
      <c r="L18" s="41">
        <v>0</v>
      </c>
    </row>
    <row r="19" spans="1:12" x14ac:dyDescent="0.25">
      <c r="A19" s="39" t="s">
        <v>54</v>
      </c>
      <c r="B19" s="39" t="s">
        <v>71</v>
      </c>
      <c r="C19" s="39" t="s">
        <v>63</v>
      </c>
      <c r="D19" s="40">
        <v>82046.400000000009</v>
      </c>
      <c r="E19" s="40">
        <v>82046.400000000009</v>
      </c>
      <c r="F19" s="41">
        <v>1</v>
      </c>
      <c r="G19" s="40">
        <v>82046.400000000009</v>
      </c>
      <c r="H19" s="41">
        <v>1</v>
      </c>
      <c r="I19" s="40">
        <v>82046.400000000009</v>
      </c>
      <c r="J19" s="41">
        <v>1</v>
      </c>
      <c r="K19" s="40">
        <v>0</v>
      </c>
      <c r="L19" s="41">
        <v>0</v>
      </c>
    </row>
    <row r="20" spans="1:12" x14ac:dyDescent="0.25">
      <c r="A20" s="39" t="s">
        <v>54</v>
      </c>
      <c r="B20" s="39" t="s">
        <v>75</v>
      </c>
      <c r="C20" s="39" t="s">
        <v>76</v>
      </c>
      <c r="D20" s="40">
        <v>96422.23</v>
      </c>
      <c r="E20" s="40">
        <v>96422.23</v>
      </c>
      <c r="F20" s="41">
        <v>1</v>
      </c>
      <c r="G20" s="40">
        <v>96422.23</v>
      </c>
      <c r="H20" s="41">
        <v>1</v>
      </c>
      <c r="I20" s="40">
        <v>96422.23</v>
      </c>
      <c r="J20" s="41">
        <v>1</v>
      </c>
      <c r="K20" s="40">
        <v>0</v>
      </c>
      <c r="L20" s="41">
        <v>0</v>
      </c>
    </row>
    <row r="21" spans="1:12" x14ac:dyDescent="0.25">
      <c r="A21" s="39" t="s">
        <v>54</v>
      </c>
      <c r="B21" s="39" t="s">
        <v>81</v>
      </c>
      <c r="C21" s="39" t="s">
        <v>30</v>
      </c>
      <c r="D21" s="40">
        <v>89010.219999999987</v>
      </c>
      <c r="E21" s="40">
        <v>89010.219999999987</v>
      </c>
      <c r="F21" s="41">
        <v>1</v>
      </c>
      <c r="G21" s="40">
        <v>89010.219999999987</v>
      </c>
      <c r="H21" s="41">
        <v>1</v>
      </c>
      <c r="I21" s="40">
        <v>89010.219999999987</v>
      </c>
      <c r="J21" s="41">
        <v>1</v>
      </c>
      <c r="K21" s="40">
        <v>0</v>
      </c>
      <c r="L21" s="41">
        <v>0</v>
      </c>
    </row>
    <row r="22" spans="1:12" x14ac:dyDescent="0.25">
      <c r="A22" s="39" t="s">
        <v>54</v>
      </c>
      <c r="B22" s="39" t="s">
        <v>85</v>
      </c>
      <c r="C22" s="39" t="s">
        <v>30</v>
      </c>
      <c r="D22" s="40">
        <v>88239.10000000002</v>
      </c>
      <c r="E22" s="40">
        <v>88239.10000000002</v>
      </c>
      <c r="F22" s="41">
        <v>1</v>
      </c>
      <c r="G22" s="40">
        <v>88239.10000000002</v>
      </c>
      <c r="H22" s="41">
        <v>1</v>
      </c>
      <c r="I22" s="40">
        <v>0</v>
      </c>
      <c r="J22" s="41">
        <v>0</v>
      </c>
      <c r="K22" s="40">
        <v>0</v>
      </c>
      <c r="L22" s="41">
        <v>0</v>
      </c>
    </row>
    <row r="23" spans="1:12" x14ac:dyDescent="0.25">
      <c r="A23" s="39" t="s">
        <v>54</v>
      </c>
      <c r="B23" s="39" t="s">
        <v>86</v>
      </c>
      <c r="C23" s="39" t="s">
        <v>30</v>
      </c>
      <c r="D23" s="40">
        <v>61132.493900000001</v>
      </c>
      <c r="E23" s="40">
        <v>61132.493900000001</v>
      </c>
      <c r="F23" s="41">
        <v>1</v>
      </c>
      <c r="G23" s="40">
        <v>0</v>
      </c>
      <c r="H23" s="41">
        <v>0</v>
      </c>
      <c r="I23" s="40">
        <v>0</v>
      </c>
      <c r="J23" s="41">
        <v>0</v>
      </c>
      <c r="K23" s="40">
        <v>0</v>
      </c>
      <c r="L23" s="41">
        <v>0</v>
      </c>
    </row>
    <row r="24" spans="1:12" x14ac:dyDescent="0.25">
      <c r="A24" s="39" t="s">
        <v>54</v>
      </c>
      <c r="B24" s="39" t="s">
        <v>88</v>
      </c>
      <c r="C24" s="39" t="s">
        <v>63</v>
      </c>
      <c r="D24" s="40">
        <v>62868.84</v>
      </c>
      <c r="E24" s="40">
        <v>20432.373</v>
      </c>
      <c r="F24" s="41">
        <v>0.32500000000000001</v>
      </c>
      <c r="G24" s="40">
        <v>18860.651999999998</v>
      </c>
      <c r="H24" s="41">
        <v>0.3</v>
      </c>
      <c r="I24" s="40">
        <v>14145.489</v>
      </c>
      <c r="J24" s="41">
        <v>0.22500000000000001</v>
      </c>
      <c r="K24" s="40">
        <v>0</v>
      </c>
      <c r="L24" s="41">
        <v>0</v>
      </c>
    </row>
    <row r="25" spans="1:12" x14ac:dyDescent="0.25">
      <c r="A25" s="39" t="s">
        <v>54</v>
      </c>
      <c r="B25" s="39" t="s">
        <v>91</v>
      </c>
      <c r="C25" s="39" t="s">
        <v>63</v>
      </c>
      <c r="D25" s="40">
        <v>76828.36</v>
      </c>
      <c r="E25" s="40">
        <v>0</v>
      </c>
      <c r="F25" s="41">
        <v>0</v>
      </c>
      <c r="G25" s="40">
        <v>0</v>
      </c>
      <c r="H25" s="41">
        <v>0</v>
      </c>
      <c r="I25" s="40">
        <v>0</v>
      </c>
      <c r="J25" s="41">
        <v>0</v>
      </c>
      <c r="K25" s="40">
        <v>0</v>
      </c>
      <c r="L25" s="41">
        <v>0</v>
      </c>
    </row>
    <row r="26" spans="1:12" x14ac:dyDescent="0.25">
      <c r="A26" s="39" t="s">
        <v>27</v>
      </c>
      <c r="B26" s="39" t="s">
        <v>28</v>
      </c>
      <c r="C26" s="39" t="s">
        <v>30</v>
      </c>
      <c r="D26" s="40">
        <v>166217.75</v>
      </c>
      <c r="E26" s="40">
        <v>166217.75</v>
      </c>
      <c r="F26" s="41">
        <v>1</v>
      </c>
      <c r="G26" s="40">
        <v>166217.75</v>
      </c>
      <c r="H26" s="41">
        <v>1</v>
      </c>
      <c r="I26" s="40">
        <v>166217.75</v>
      </c>
      <c r="J26" s="41">
        <v>1</v>
      </c>
      <c r="K26" s="40">
        <v>0</v>
      </c>
      <c r="L26" s="41">
        <v>0</v>
      </c>
    </row>
    <row r="27" spans="1:12" ht="45" x14ac:dyDescent="0.25">
      <c r="A27" s="39" t="s">
        <v>27</v>
      </c>
      <c r="B27" s="39" t="s">
        <v>96</v>
      </c>
      <c r="C27" s="39" t="s">
        <v>32</v>
      </c>
      <c r="D27" s="40">
        <v>10000</v>
      </c>
      <c r="E27" s="40">
        <v>10000</v>
      </c>
      <c r="F27" s="41">
        <v>1</v>
      </c>
      <c r="G27" s="40">
        <v>10000</v>
      </c>
      <c r="H27" s="41">
        <v>1</v>
      </c>
      <c r="I27" s="40">
        <v>10000</v>
      </c>
      <c r="J27" s="41">
        <v>1</v>
      </c>
      <c r="K27" s="42"/>
      <c r="L27" s="42"/>
    </row>
    <row r="28" spans="1:12" x14ac:dyDescent="0.25">
      <c r="A28" s="39" t="s">
        <v>27</v>
      </c>
      <c r="B28" s="39" t="s">
        <v>31</v>
      </c>
      <c r="C28" s="39" t="s">
        <v>33</v>
      </c>
      <c r="D28" s="40">
        <v>105523.13032</v>
      </c>
      <c r="E28" s="40">
        <v>105523.13032</v>
      </c>
      <c r="F28" s="41">
        <v>1</v>
      </c>
      <c r="G28" s="40">
        <v>105523.13032</v>
      </c>
      <c r="H28" s="41">
        <v>1</v>
      </c>
      <c r="I28" s="40">
        <v>105523.13032</v>
      </c>
      <c r="J28" s="41">
        <v>1</v>
      </c>
      <c r="K28" s="40">
        <v>0</v>
      </c>
      <c r="L28" s="41">
        <v>0</v>
      </c>
    </row>
    <row r="29" spans="1:12" ht="45" x14ac:dyDescent="0.25">
      <c r="A29" s="39" t="s">
        <v>27</v>
      </c>
      <c r="B29" s="39" t="s">
        <v>97</v>
      </c>
      <c r="C29" s="39" t="s">
        <v>35</v>
      </c>
      <c r="D29" s="40">
        <v>8130</v>
      </c>
      <c r="E29" s="40">
        <v>8130</v>
      </c>
      <c r="F29" s="41">
        <v>1</v>
      </c>
      <c r="G29" s="40">
        <v>8130</v>
      </c>
      <c r="H29" s="41">
        <v>1</v>
      </c>
      <c r="I29" s="40">
        <v>8130</v>
      </c>
      <c r="J29" s="41">
        <v>1</v>
      </c>
      <c r="K29" s="42"/>
      <c r="L29" s="42"/>
    </row>
    <row r="30" spans="1:12" x14ac:dyDescent="0.25">
      <c r="A30" s="39" t="s">
        <v>27</v>
      </c>
      <c r="B30" s="39" t="s">
        <v>34</v>
      </c>
      <c r="C30" s="39" t="s">
        <v>36</v>
      </c>
      <c r="D30" s="40">
        <v>23734.43</v>
      </c>
      <c r="E30" s="40">
        <v>23734.43</v>
      </c>
      <c r="F30" s="41">
        <v>1</v>
      </c>
      <c r="G30" s="40">
        <v>23734.43</v>
      </c>
      <c r="H30" s="41">
        <v>1</v>
      </c>
      <c r="I30" s="40">
        <v>23734.43</v>
      </c>
      <c r="J30" s="41">
        <v>1</v>
      </c>
      <c r="K30" s="40">
        <v>23734.43</v>
      </c>
      <c r="L30" s="41">
        <v>1</v>
      </c>
    </row>
    <row r="31" spans="1:12" x14ac:dyDescent="0.25">
      <c r="A31" s="39" t="s">
        <v>27</v>
      </c>
      <c r="B31" s="39" t="s">
        <v>95</v>
      </c>
      <c r="C31" s="39" t="s">
        <v>29</v>
      </c>
      <c r="D31" s="40">
        <v>38873.682999999997</v>
      </c>
      <c r="E31" s="40">
        <v>38873.682999999997</v>
      </c>
      <c r="F31" s="41">
        <v>1</v>
      </c>
      <c r="G31" s="40">
        <v>38873.682999999997</v>
      </c>
      <c r="H31" s="41">
        <v>1</v>
      </c>
      <c r="I31" s="40">
        <v>38873.682999999997</v>
      </c>
      <c r="J31" s="41">
        <v>1</v>
      </c>
      <c r="K31" s="42"/>
      <c r="L31" s="42"/>
    </row>
    <row r="32" spans="1:12" x14ac:dyDescent="0.25">
      <c r="A32" s="39" t="s">
        <v>37</v>
      </c>
      <c r="B32" s="39" t="s">
        <v>38</v>
      </c>
      <c r="C32" s="39" t="s">
        <v>30</v>
      </c>
      <c r="D32" s="40">
        <v>176865.63999999998</v>
      </c>
      <c r="E32" s="40">
        <v>176865.63999999998</v>
      </c>
      <c r="F32" s="41">
        <v>1</v>
      </c>
      <c r="G32" s="40">
        <v>176865.63999999998</v>
      </c>
      <c r="H32" s="41">
        <v>1</v>
      </c>
      <c r="I32" s="40">
        <v>176865.63999999998</v>
      </c>
      <c r="J32" s="41">
        <v>1</v>
      </c>
      <c r="K32" s="40">
        <v>0</v>
      </c>
      <c r="L32" s="41">
        <v>0</v>
      </c>
    </row>
    <row r="33" spans="1:12" ht="45" x14ac:dyDescent="0.25">
      <c r="A33" s="39" t="s">
        <v>37</v>
      </c>
      <c r="B33" s="39" t="s">
        <v>98</v>
      </c>
      <c r="C33" s="39" t="s">
        <v>40</v>
      </c>
      <c r="D33" s="40">
        <v>28853.47</v>
      </c>
      <c r="E33" s="40">
        <v>28853.47</v>
      </c>
      <c r="F33" s="41">
        <v>1</v>
      </c>
      <c r="G33" s="40">
        <v>28853.47</v>
      </c>
      <c r="H33" s="41">
        <v>1</v>
      </c>
      <c r="I33" s="40">
        <v>28853.47</v>
      </c>
      <c r="J33" s="41">
        <v>1</v>
      </c>
      <c r="K33" s="42"/>
      <c r="L33" s="42"/>
    </row>
    <row r="34" spans="1:12" x14ac:dyDescent="0.25">
      <c r="A34" s="39" t="s">
        <v>37</v>
      </c>
      <c r="B34" s="39" t="s">
        <v>39</v>
      </c>
      <c r="C34" s="39" t="s">
        <v>41</v>
      </c>
      <c r="D34" s="40">
        <v>48011.730000000018</v>
      </c>
      <c r="E34" s="40">
        <v>48011.730000000018</v>
      </c>
      <c r="F34" s="41">
        <v>1</v>
      </c>
      <c r="G34" s="40">
        <v>48011.730000000018</v>
      </c>
      <c r="H34" s="41">
        <v>1</v>
      </c>
      <c r="I34" s="40">
        <v>48011.730000000018</v>
      </c>
      <c r="J34" s="41">
        <v>1</v>
      </c>
      <c r="K34" s="40">
        <v>0</v>
      </c>
      <c r="L34" s="41">
        <v>0</v>
      </c>
    </row>
    <row r="35" spans="1:12" x14ac:dyDescent="0.25">
      <c r="A35" s="39" t="s">
        <v>48</v>
      </c>
      <c r="B35" s="39" t="s">
        <v>50</v>
      </c>
      <c r="C35" s="39" t="s">
        <v>30</v>
      </c>
      <c r="D35" s="40">
        <v>161909.82999999999</v>
      </c>
      <c r="E35" s="40">
        <v>161909.82999999999</v>
      </c>
      <c r="F35" s="41">
        <v>1</v>
      </c>
      <c r="G35" s="40">
        <v>161909.82999999999</v>
      </c>
      <c r="H35" s="41">
        <v>1</v>
      </c>
      <c r="I35" s="40">
        <v>161909.82999999999</v>
      </c>
      <c r="J35" s="41">
        <v>1</v>
      </c>
      <c r="K35" s="40">
        <v>0</v>
      </c>
      <c r="L35" s="41">
        <v>0</v>
      </c>
    </row>
    <row r="36" spans="1:12" ht="45" x14ac:dyDescent="0.25">
      <c r="A36" s="39" t="s">
        <v>48</v>
      </c>
      <c r="B36" s="39" t="s">
        <v>99</v>
      </c>
      <c r="C36" s="39" t="s">
        <v>40</v>
      </c>
      <c r="D36" s="40">
        <v>36020.75</v>
      </c>
      <c r="E36" s="40">
        <v>36020.75</v>
      </c>
      <c r="F36" s="41">
        <v>1</v>
      </c>
      <c r="G36" s="40">
        <v>36020.75</v>
      </c>
      <c r="H36" s="41">
        <v>1</v>
      </c>
      <c r="I36" s="40">
        <v>36020.75</v>
      </c>
      <c r="J36" s="41">
        <v>1</v>
      </c>
      <c r="K36" s="42"/>
      <c r="L36" s="42"/>
    </row>
    <row r="37" spans="1:12" x14ac:dyDescent="0.25">
      <c r="A37" s="39" t="s">
        <v>48</v>
      </c>
      <c r="B37" s="39" t="s">
        <v>49</v>
      </c>
      <c r="C37" s="39" t="s">
        <v>41</v>
      </c>
      <c r="D37" s="40">
        <v>161909.82999999999</v>
      </c>
      <c r="E37" s="40">
        <v>161909.82999999999</v>
      </c>
      <c r="F37" s="41">
        <v>1</v>
      </c>
      <c r="G37" s="40">
        <v>161909.82999999999</v>
      </c>
      <c r="H37" s="41">
        <v>1</v>
      </c>
      <c r="I37" s="40">
        <v>161909.82999999999</v>
      </c>
      <c r="J37" s="41">
        <v>1</v>
      </c>
      <c r="K37" s="40">
        <v>0</v>
      </c>
      <c r="L37" s="41">
        <v>0</v>
      </c>
    </row>
    <row r="38" spans="1:12" x14ac:dyDescent="0.25">
      <c r="A38" s="39" t="s">
        <v>48</v>
      </c>
      <c r="B38" s="39" t="s">
        <v>53</v>
      </c>
      <c r="C38" s="39" t="s">
        <v>30</v>
      </c>
      <c r="D38" s="40">
        <v>38583.480000000003</v>
      </c>
      <c r="E38" s="40">
        <v>38583.480000000003</v>
      </c>
      <c r="F38" s="41">
        <v>1</v>
      </c>
      <c r="G38" s="40">
        <v>38583.480000000003</v>
      </c>
      <c r="H38" s="41">
        <v>1</v>
      </c>
      <c r="I38" s="40">
        <v>38583.480000000003</v>
      </c>
      <c r="J38" s="41">
        <v>1</v>
      </c>
      <c r="K38" s="40">
        <v>350.74984454545466</v>
      </c>
      <c r="L38" s="41">
        <v>9.0906741575787001E-3</v>
      </c>
    </row>
    <row r="39" spans="1:12" x14ac:dyDescent="0.25">
      <c r="A39" s="39" t="s">
        <v>42</v>
      </c>
      <c r="B39" s="39" t="s">
        <v>43</v>
      </c>
      <c r="C39" s="39" t="s">
        <v>30</v>
      </c>
      <c r="D39" s="40">
        <v>117331.46</v>
      </c>
      <c r="E39" s="40">
        <v>117331.46</v>
      </c>
      <c r="F39" s="41">
        <v>1</v>
      </c>
      <c r="G39" s="40">
        <v>117331.46</v>
      </c>
      <c r="H39" s="41">
        <v>1</v>
      </c>
      <c r="I39" s="40">
        <v>117331.46</v>
      </c>
      <c r="J39" s="41">
        <v>1</v>
      </c>
      <c r="K39" s="40">
        <v>117331.46</v>
      </c>
      <c r="L39" s="41">
        <v>1</v>
      </c>
    </row>
    <row r="40" spans="1:12" ht="45" x14ac:dyDescent="0.25">
      <c r="A40" s="39" t="s">
        <v>42</v>
      </c>
      <c r="B40" s="39" t="s">
        <v>100</v>
      </c>
      <c r="C40" s="39" t="s">
        <v>40</v>
      </c>
      <c r="D40" s="40">
        <v>32085.040000000001</v>
      </c>
      <c r="E40" s="40">
        <v>32085.040000000001</v>
      </c>
      <c r="F40" s="41">
        <v>1</v>
      </c>
      <c r="G40" s="40">
        <v>32085.040000000001</v>
      </c>
      <c r="H40" s="41">
        <v>1</v>
      </c>
      <c r="I40" s="40">
        <v>32085.040000000001</v>
      </c>
      <c r="J40" s="41">
        <v>1</v>
      </c>
      <c r="K40" s="42"/>
      <c r="L40" s="42"/>
    </row>
    <row r="41" spans="1:12" x14ac:dyDescent="0.25">
      <c r="A41" s="39" t="s">
        <v>42</v>
      </c>
      <c r="B41" s="39" t="s">
        <v>44</v>
      </c>
      <c r="C41" s="39" t="s">
        <v>41</v>
      </c>
      <c r="D41" s="40">
        <v>52880.41</v>
      </c>
      <c r="E41" s="40">
        <v>52880.41</v>
      </c>
      <c r="F41" s="41">
        <v>1</v>
      </c>
      <c r="G41" s="40">
        <v>52880.41</v>
      </c>
      <c r="H41" s="41">
        <v>1</v>
      </c>
      <c r="I41" s="40">
        <v>52880.41</v>
      </c>
      <c r="J41" s="41">
        <v>1</v>
      </c>
      <c r="K41" s="40">
        <v>0</v>
      </c>
      <c r="L41" s="41">
        <v>0</v>
      </c>
    </row>
    <row r="42" spans="1:12" x14ac:dyDescent="0.25">
      <c r="A42" s="39" t="s">
        <v>42</v>
      </c>
      <c r="B42" s="39" t="s">
        <v>45</v>
      </c>
      <c r="C42" s="39" t="s">
        <v>46</v>
      </c>
      <c r="D42" s="40">
        <v>45121.45</v>
      </c>
      <c r="E42" s="40">
        <v>45121.45</v>
      </c>
      <c r="F42" s="41">
        <v>1</v>
      </c>
      <c r="G42" s="40">
        <v>45121.45</v>
      </c>
      <c r="H42" s="41">
        <v>1</v>
      </c>
      <c r="I42" s="40">
        <v>45121.45</v>
      </c>
      <c r="J42" s="41">
        <v>1</v>
      </c>
      <c r="K42" s="40">
        <v>45121.45</v>
      </c>
      <c r="L42" s="41">
        <v>1</v>
      </c>
    </row>
    <row r="43" spans="1:12" x14ac:dyDescent="0.25">
      <c r="A43" s="39" t="s">
        <v>42</v>
      </c>
      <c r="B43" s="39" t="s">
        <v>92</v>
      </c>
      <c r="C43" s="39" t="s">
        <v>30</v>
      </c>
      <c r="D43" s="40">
        <v>23254.95</v>
      </c>
      <c r="E43" s="40">
        <v>23254.95</v>
      </c>
      <c r="F43" s="41">
        <v>1</v>
      </c>
      <c r="G43" s="40">
        <v>23254.95</v>
      </c>
      <c r="H43" s="41">
        <v>1</v>
      </c>
      <c r="I43" s="40">
        <v>23254.95</v>
      </c>
      <c r="J43" s="41">
        <v>1</v>
      </c>
      <c r="K43" s="40">
        <v>0</v>
      </c>
      <c r="L43" s="41">
        <v>0</v>
      </c>
    </row>
    <row r="44" spans="1:12" x14ac:dyDescent="0.25">
      <c r="A44" s="39" t="s">
        <v>47</v>
      </c>
      <c r="B44" s="39" t="s">
        <v>47</v>
      </c>
      <c r="C44" s="39" t="s">
        <v>30</v>
      </c>
      <c r="D44" s="40">
        <v>231366.76</v>
      </c>
      <c r="E44" s="40">
        <v>231366.76</v>
      </c>
      <c r="F44" s="41">
        <v>1</v>
      </c>
      <c r="G44" s="40">
        <v>231366.76</v>
      </c>
      <c r="H44" s="41">
        <v>1</v>
      </c>
      <c r="I44" s="40">
        <v>231366.76</v>
      </c>
      <c r="J44" s="41">
        <v>1</v>
      </c>
      <c r="K44" s="40">
        <v>197529.26080194977</v>
      </c>
      <c r="L44" s="41">
        <v>0.85374952219562461</v>
      </c>
    </row>
    <row r="45" spans="1:12" x14ac:dyDescent="0.25">
      <c r="A45" s="39" t="s">
        <v>51</v>
      </c>
      <c r="B45" s="39" t="s">
        <v>73</v>
      </c>
      <c r="C45" s="39" t="s">
        <v>30</v>
      </c>
      <c r="D45" s="40">
        <v>37063.279999999999</v>
      </c>
      <c r="E45" s="40">
        <v>37063.279999999999</v>
      </c>
      <c r="F45" s="41">
        <v>1</v>
      </c>
      <c r="G45" s="40">
        <v>37063.279999999999</v>
      </c>
      <c r="H45" s="41">
        <v>1</v>
      </c>
      <c r="I45" s="40">
        <v>31133.155199999997</v>
      </c>
      <c r="J45" s="41">
        <v>0.84</v>
      </c>
      <c r="K45" s="40">
        <v>0</v>
      </c>
      <c r="L45" s="41">
        <v>0</v>
      </c>
    </row>
    <row r="46" spans="1:12" x14ac:dyDescent="0.25">
      <c r="A46" s="39" t="s">
        <v>51</v>
      </c>
      <c r="B46" s="39" t="s">
        <v>73</v>
      </c>
      <c r="C46" s="39" t="s">
        <v>46</v>
      </c>
      <c r="D46" s="40">
        <v>37063.279999999999</v>
      </c>
      <c r="E46" s="40">
        <v>30617.492173913044</v>
      </c>
      <c r="F46" s="41">
        <v>0.82608695652173914</v>
      </c>
      <c r="G46" s="40">
        <v>30617.492173913044</v>
      </c>
      <c r="H46" s="41">
        <v>0.82608695652173914</v>
      </c>
      <c r="I46" s="40">
        <v>29006.045217391304</v>
      </c>
      <c r="J46" s="41">
        <v>0.78260869565217395</v>
      </c>
      <c r="K46" s="40">
        <v>0</v>
      </c>
      <c r="L46" s="41">
        <v>0</v>
      </c>
    </row>
    <row r="47" spans="1:12" x14ac:dyDescent="0.25">
      <c r="A47" s="39" t="s">
        <v>51</v>
      </c>
      <c r="B47" s="39" t="s">
        <v>73</v>
      </c>
      <c r="C47" s="39" t="s">
        <v>74</v>
      </c>
      <c r="D47" s="40">
        <v>37063.279999999999</v>
      </c>
      <c r="E47" s="40">
        <v>37063.279999999999</v>
      </c>
      <c r="F47" s="41">
        <v>1</v>
      </c>
      <c r="G47" s="40">
        <v>37063.279999999999</v>
      </c>
      <c r="H47" s="41">
        <v>1</v>
      </c>
      <c r="I47" s="40">
        <v>0</v>
      </c>
      <c r="J47" s="41">
        <v>0</v>
      </c>
      <c r="K47" s="40">
        <v>0</v>
      </c>
      <c r="L47" s="41">
        <v>0</v>
      </c>
    </row>
    <row r="48" spans="1:12" x14ac:dyDescent="0.25">
      <c r="A48" s="39" t="s">
        <v>51</v>
      </c>
      <c r="B48" s="39" t="s">
        <v>72</v>
      </c>
      <c r="C48" s="39" t="s">
        <v>46</v>
      </c>
      <c r="D48" s="40">
        <v>112594.34</v>
      </c>
      <c r="E48" s="40">
        <v>112594.34</v>
      </c>
      <c r="F48" s="41">
        <v>1</v>
      </c>
      <c r="G48" s="40">
        <v>112594.34</v>
      </c>
      <c r="H48" s="41">
        <v>1</v>
      </c>
      <c r="I48" s="40">
        <v>112594.34</v>
      </c>
      <c r="J48" s="41">
        <v>1</v>
      </c>
      <c r="K48" s="40">
        <v>0</v>
      </c>
      <c r="L48" s="41">
        <v>0</v>
      </c>
    </row>
    <row r="49" spans="1:12" x14ac:dyDescent="0.25">
      <c r="A49" s="39" t="s">
        <v>51</v>
      </c>
      <c r="B49" s="39" t="s">
        <v>69</v>
      </c>
      <c r="C49" s="39" t="s">
        <v>70</v>
      </c>
      <c r="D49" s="40">
        <v>103605.23999999983</v>
      </c>
      <c r="E49" s="40">
        <v>103605.23999999983</v>
      </c>
      <c r="F49" s="41">
        <v>1</v>
      </c>
      <c r="G49" s="40">
        <v>103605.23999999983</v>
      </c>
      <c r="H49" s="41">
        <v>1</v>
      </c>
      <c r="I49" s="40">
        <v>103605.23999999983</v>
      </c>
      <c r="J49" s="41">
        <v>1</v>
      </c>
      <c r="K49" s="40">
        <v>0</v>
      </c>
      <c r="L49" s="41">
        <v>0</v>
      </c>
    </row>
    <row r="50" spans="1:12" x14ac:dyDescent="0.25">
      <c r="A50" s="39" t="s">
        <v>51</v>
      </c>
      <c r="B50" s="39" t="s">
        <v>68</v>
      </c>
      <c r="C50" s="39" t="s">
        <v>30</v>
      </c>
      <c r="D50" s="40">
        <v>91700.06</v>
      </c>
      <c r="E50" s="40">
        <v>91700.06</v>
      </c>
      <c r="F50" s="41">
        <v>1</v>
      </c>
      <c r="G50" s="40">
        <v>91700.06</v>
      </c>
      <c r="H50" s="41">
        <v>1</v>
      </c>
      <c r="I50" s="40">
        <v>91700.06</v>
      </c>
      <c r="J50" s="41">
        <v>1</v>
      </c>
      <c r="K50" s="40">
        <v>9324.4140034894335</v>
      </c>
      <c r="L50" s="41">
        <v>0.10168383754044909</v>
      </c>
    </row>
    <row r="51" spans="1:12" x14ac:dyDescent="0.25">
      <c r="A51" s="39" t="s">
        <v>51</v>
      </c>
      <c r="B51" s="39" t="s">
        <v>68</v>
      </c>
      <c r="C51" s="39" t="s">
        <v>61</v>
      </c>
      <c r="D51" s="40">
        <v>3911.9090000000001</v>
      </c>
      <c r="E51" s="40">
        <v>3911.9090000000001</v>
      </c>
      <c r="F51" s="41">
        <v>1</v>
      </c>
      <c r="G51" s="40">
        <v>3911.9090000000001</v>
      </c>
      <c r="H51" s="41">
        <v>1</v>
      </c>
      <c r="I51" s="40">
        <v>3911.9090000000001</v>
      </c>
      <c r="J51" s="41">
        <v>1</v>
      </c>
      <c r="K51" s="40">
        <v>348.38469903147336</v>
      </c>
      <c r="L51" s="41">
        <v>8.9057465046214868E-2</v>
      </c>
    </row>
    <row r="52" spans="1:12" x14ac:dyDescent="0.25">
      <c r="A52" s="39" t="s">
        <v>51</v>
      </c>
      <c r="B52" s="39" t="s">
        <v>68</v>
      </c>
      <c r="C52" s="39" t="s">
        <v>46</v>
      </c>
      <c r="D52" s="40">
        <v>313.09100000000001</v>
      </c>
      <c r="E52" s="40">
        <v>313.09100000000001</v>
      </c>
      <c r="F52" s="41">
        <v>1</v>
      </c>
      <c r="G52" s="40">
        <v>313.09100000000001</v>
      </c>
      <c r="H52" s="41">
        <v>1</v>
      </c>
      <c r="I52" s="40">
        <v>313.09100000000001</v>
      </c>
      <c r="J52" s="41">
        <v>1</v>
      </c>
      <c r="K52" s="40">
        <v>313.09082429299076</v>
      </c>
      <c r="L52" s="41">
        <v>0.99999943879891395</v>
      </c>
    </row>
    <row r="53" spans="1:12" x14ac:dyDescent="0.25">
      <c r="A53" s="39" t="s">
        <v>51</v>
      </c>
      <c r="B53" s="39" t="s">
        <v>60</v>
      </c>
      <c r="C53" s="39" t="s">
        <v>30</v>
      </c>
      <c r="D53" s="40">
        <v>90800.14</v>
      </c>
      <c r="E53" s="40">
        <v>90800.14</v>
      </c>
      <c r="F53" s="41">
        <v>1</v>
      </c>
      <c r="G53" s="40">
        <v>90800.14</v>
      </c>
      <c r="H53" s="41">
        <v>1</v>
      </c>
      <c r="I53" s="40">
        <v>90800.14</v>
      </c>
      <c r="J53" s="41">
        <v>1</v>
      </c>
      <c r="K53" s="40">
        <v>10153.047824795449</v>
      </c>
      <c r="L53" s="41">
        <v>0.11181753491564494</v>
      </c>
    </row>
    <row r="54" spans="1:12" x14ac:dyDescent="0.25">
      <c r="A54" s="39" t="s">
        <v>51</v>
      </c>
      <c r="B54" s="39" t="s">
        <v>60</v>
      </c>
      <c r="C54" s="39" t="s">
        <v>61</v>
      </c>
      <c r="D54" s="40">
        <v>3099.45</v>
      </c>
      <c r="E54" s="40">
        <v>3099.45</v>
      </c>
      <c r="F54" s="41">
        <v>1</v>
      </c>
      <c r="G54" s="40">
        <v>3099.45</v>
      </c>
      <c r="H54" s="41">
        <v>1</v>
      </c>
      <c r="I54" s="40">
        <v>3099.45</v>
      </c>
      <c r="J54" s="41">
        <v>1</v>
      </c>
      <c r="K54" s="40">
        <v>316.12053666945536</v>
      </c>
      <c r="L54" s="41">
        <v>0.10199246210439122</v>
      </c>
    </row>
    <row r="55" spans="1:12" x14ac:dyDescent="0.25">
      <c r="A55" s="39" t="s">
        <v>51</v>
      </c>
      <c r="B55" s="39" t="s">
        <v>60</v>
      </c>
      <c r="C55" s="39" t="s">
        <v>46</v>
      </c>
      <c r="D55" s="40">
        <v>1909.55</v>
      </c>
      <c r="E55" s="40">
        <v>1909.55</v>
      </c>
      <c r="F55" s="41">
        <v>1</v>
      </c>
      <c r="G55" s="40">
        <v>1909.55</v>
      </c>
      <c r="H55" s="41">
        <v>1</v>
      </c>
      <c r="I55" s="40">
        <v>1909.55</v>
      </c>
      <c r="J55" s="41">
        <v>1</v>
      </c>
      <c r="K55" s="40">
        <v>1909.55</v>
      </c>
      <c r="L55" s="41">
        <v>1</v>
      </c>
    </row>
    <row r="56" spans="1:12" x14ac:dyDescent="0.25">
      <c r="A56" s="39" t="s">
        <v>51</v>
      </c>
      <c r="B56" s="39" t="s">
        <v>57</v>
      </c>
      <c r="C56" s="39" t="s">
        <v>30</v>
      </c>
      <c r="D56" s="40">
        <v>95335.083678390001</v>
      </c>
      <c r="E56" s="40">
        <v>95335.083678390001</v>
      </c>
      <c r="F56" s="41">
        <v>1</v>
      </c>
      <c r="G56" s="40">
        <v>95335.083678390001</v>
      </c>
      <c r="H56" s="41">
        <v>1</v>
      </c>
      <c r="I56" s="40">
        <v>95335.083678390001</v>
      </c>
      <c r="J56" s="41">
        <v>1</v>
      </c>
      <c r="K56" s="40">
        <v>10725.196913819915</v>
      </c>
      <c r="L56" s="41">
        <v>0.11250000000001091</v>
      </c>
    </row>
    <row r="57" spans="1:12" x14ac:dyDescent="0.25">
      <c r="A57" s="39" t="s">
        <v>51</v>
      </c>
      <c r="B57" s="39" t="s">
        <v>55</v>
      </c>
      <c r="C57" s="39" t="s">
        <v>30</v>
      </c>
      <c r="D57" s="40">
        <v>120097.08</v>
      </c>
      <c r="E57" s="40">
        <v>120097.08</v>
      </c>
      <c r="F57" s="41">
        <v>1</v>
      </c>
      <c r="G57" s="40">
        <v>120097.08</v>
      </c>
      <c r="H57" s="41">
        <v>1</v>
      </c>
      <c r="I57" s="40">
        <v>120097.08</v>
      </c>
      <c r="J57" s="41">
        <v>1</v>
      </c>
      <c r="K57" s="40">
        <v>0</v>
      </c>
      <c r="L57" s="41">
        <v>0</v>
      </c>
    </row>
    <row r="58" spans="1:12" x14ac:dyDescent="0.25">
      <c r="A58" s="39" t="s">
        <v>51</v>
      </c>
      <c r="B58" s="39" t="s">
        <v>55</v>
      </c>
      <c r="C58" s="39" t="s">
        <v>56</v>
      </c>
      <c r="D58" s="40">
        <v>377.43</v>
      </c>
      <c r="E58" s="40">
        <v>377.43</v>
      </c>
      <c r="F58" s="41">
        <v>1</v>
      </c>
      <c r="G58" s="40">
        <v>377.43</v>
      </c>
      <c r="H58" s="41">
        <v>1</v>
      </c>
      <c r="I58" s="40">
        <v>377.43</v>
      </c>
      <c r="J58" s="41">
        <v>1</v>
      </c>
      <c r="K58" s="40">
        <v>0</v>
      </c>
      <c r="L58" s="41">
        <v>0</v>
      </c>
    </row>
    <row r="59" spans="1:12" x14ac:dyDescent="0.25">
      <c r="A59" s="39" t="s">
        <v>51</v>
      </c>
      <c r="B59" s="39" t="s">
        <v>55</v>
      </c>
      <c r="C59" s="39" t="s">
        <v>46</v>
      </c>
      <c r="D59" s="40">
        <v>14276.642999</v>
      </c>
      <c r="E59" s="40">
        <v>14276.642999</v>
      </c>
      <c r="F59" s="41">
        <v>1</v>
      </c>
      <c r="G59" s="40">
        <v>14276.642999</v>
      </c>
      <c r="H59" s="41">
        <v>1</v>
      </c>
      <c r="I59" s="40">
        <v>14276.642999</v>
      </c>
      <c r="J59" s="41">
        <v>1</v>
      </c>
      <c r="K59" s="40">
        <v>0</v>
      </c>
      <c r="L59" s="41">
        <v>0</v>
      </c>
    </row>
    <row r="60" spans="1:12" x14ac:dyDescent="0.25">
      <c r="A60" s="39" t="s">
        <v>51</v>
      </c>
      <c r="B60" s="39" t="s">
        <v>52</v>
      </c>
      <c r="C60" s="39" t="s">
        <v>30</v>
      </c>
      <c r="D60" s="40">
        <v>68960.590000000026</v>
      </c>
      <c r="E60" s="40">
        <v>68960.590000000026</v>
      </c>
      <c r="F60" s="41">
        <v>1</v>
      </c>
      <c r="G60" s="40">
        <v>68960.590000000026</v>
      </c>
      <c r="H60" s="41">
        <v>1</v>
      </c>
      <c r="I60" s="40">
        <v>68960.590000000026</v>
      </c>
      <c r="J60" s="41">
        <v>1</v>
      </c>
      <c r="K60" s="40">
        <v>10984.872743362903</v>
      </c>
      <c r="L60" s="41">
        <v>0.15929203539823106</v>
      </c>
    </row>
    <row r="61" spans="1:12" ht="30" x14ac:dyDescent="0.25">
      <c r="A61" s="41" t="s">
        <v>114</v>
      </c>
      <c r="B61" s="41" t="s">
        <v>114</v>
      </c>
      <c r="C61" s="41" t="s">
        <v>114</v>
      </c>
      <c r="D61" s="41" t="s">
        <v>124</v>
      </c>
      <c r="E61" s="41" t="s">
        <v>125</v>
      </c>
      <c r="F61" s="41" t="s">
        <v>114</v>
      </c>
      <c r="G61" s="41" t="s">
        <v>126</v>
      </c>
      <c r="H61" s="41" t="s">
        <v>114</v>
      </c>
      <c r="I61" s="41" t="s">
        <v>127</v>
      </c>
      <c r="J61" s="41" t="s">
        <v>114</v>
      </c>
      <c r="K61" s="41" t="s">
        <v>115</v>
      </c>
      <c r="L61" s="41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61"/>
  <sheetViews>
    <sheetView topLeftCell="A31" workbookViewId="0">
      <selection activeCell="C32" sqref="C32"/>
    </sheetView>
  </sheetViews>
  <sheetFormatPr defaultRowHeight="15" x14ac:dyDescent="0.25"/>
  <sheetData>
    <row r="1" spans="1:12" x14ac:dyDescent="0.25">
      <c r="A1" s="33" t="s">
        <v>102</v>
      </c>
      <c r="B1" s="33" t="s">
        <v>103</v>
      </c>
      <c r="C1" s="33" t="s">
        <v>104</v>
      </c>
      <c r="D1" s="33" t="s">
        <v>105</v>
      </c>
      <c r="E1" s="33" t="s">
        <v>106</v>
      </c>
      <c r="F1" s="33" t="s">
        <v>107</v>
      </c>
      <c r="G1" s="33" t="s">
        <v>108</v>
      </c>
      <c r="H1" s="33" t="s">
        <v>109</v>
      </c>
      <c r="I1" s="33" t="s">
        <v>110</v>
      </c>
      <c r="J1" s="33" t="s">
        <v>111</v>
      </c>
      <c r="K1" s="33" t="s">
        <v>112</v>
      </c>
      <c r="L1" s="33" t="s">
        <v>113</v>
      </c>
    </row>
    <row r="2" spans="1:12" x14ac:dyDescent="0.25">
      <c r="A2" s="34" t="s">
        <v>54</v>
      </c>
      <c r="B2" s="34" t="s">
        <v>82</v>
      </c>
      <c r="C2" s="34" t="s">
        <v>83</v>
      </c>
      <c r="D2" s="35">
        <v>61696.523999999998</v>
      </c>
      <c r="E2" s="35">
        <v>61696.523999999998</v>
      </c>
      <c r="F2" s="36">
        <v>1</v>
      </c>
      <c r="G2" s="35">
        <v>61696.523999999998</v>
      </c>
      <c r="H2" s="36">
        <v>1</v>
      </c>
      <c r="I2" s="35">
        <v>61696.523999999998</v>
      </c>
      <c r="J2" s="36">
        <v>1</v>
      </c>
      <c r="K2" s="35">
        <v>0</v>
      </c>
      <c r="L2" s="36">
        <v>0</v>
      </c>
    </row>
    <row r="3" spans="1:12" x14ac:dyDescent="0.25">
      <c r="A3" s="34" t="s">
        <v>54</v>
      </c>
      <c r="B3" s="34" t="s">
        <v>84</v>
      </c>
      <c r="C3" s="34" t="s">
        <v>83</v>
      </c>
      <c r="D3" s="35">
        <v>61512.597399999991</v>
      </c>
      <c r="E3" s="35">
        <v>61512.597399999991</v>
      </c>
      <c r="F3" s="36">
        <v>1</v>
      </c>
      <c r="G3" s="35">
        <v>0</v>
      </c>
      <c r="H3" s="36">
        <v>0</v>
      </c>
      <c r="I3" s="35">
        <v>0</v>
      </c>
      <c r="J3" s="36">
        <v>0</v>
      </c>
      <c r="K3" s="35">
        <v>0</v>
      </c>
      <c r="L3" s="36">
        <v>0</v>
      </c>
    </row>
    <row r="4" spans="1:12" x14ac:dyDescent="0.25">
      <c r="A4" s="34" t="s">
        <v>54</v>
      </c>
      <c r="B4" s="34" t="s">
        <v>94</v>
      </c>
      <c r="C4" s="34" t="s">
        <v>101</v>
      </c>
      <c r="D4" s="35">
        <v>116529.74</v>
      </c>
      <c r="E4" s="35">
        <v>58264.87</v>
      </c>
      <c r="F4" s="36">
        <v>0.5</v>
      </c>
      <c r="G4" s="35">
        <v>34958.921999999999</v>
      </c>
      <c r="H4" s="36">
        <v>0.3</v>
      </c>
      <c r="I4" s="35">
        <v>23305.948000000004</v>
      </c>
      <c r="J4" s="36">
        <v>0.2</v>
      </c>
      <c r="K4" s="35">
        <v>0</v>
      </c>
      <c r="L4" s="36">
        <v>0</v>
      </c>
    </row>
    <row r="5" spans="1:12" x14ac:dyDescent="0.25">
      <c r="A5" s="34" t="s">
        <v>54</v>
      </c>
      <c r="B5" s="34" t="s">
        <v>78</v>
      </c>
      <c r="C5" s="34" t="s">
        <v>59</v>
      </c>
      <c r="D5" s="35">
        <v>3632.6453241000008</v>
      </c>
      <c r="E5" s="35">
        <v>3632.6453241000008</v>
      </c>
      <c r="F5" s="36">
        <v>1</v>
      </c>
      <c r="G5" s="35">
        <v>3632.6453241000008</v>
      </c>
      <c r="H5" s="36">
        <v>1</v>
      </c>
      <c r="I5" s="35">
        <v>3632.6453241000008</v>
      </c>
      <c r="J5" s="36">
        <v>1</v>
      </c>
      <c r="K5" s="35">
        <v>82.560121002272751</v>
      </c>
      <c r="L5" s="36">
        <v>2.2727272727272728E-2</v>
      </c>
    </row>
    <row r="6" spans="1:12" ht="30" x14ac:dyDescent="0.25">
      <c r="A6" s="34" t="s">
        <v>54</v>
      </c>
      <c r="B6" s="34" t="s">
        <v>79</v>
      </c>
      <c r="C6" s="34" t="s">
        <v>59</v>
      </c>
      <c r="D6" s="35">
        <v>66526.931673225015</v>
      </c>
      <c r="E6" s="35">
        <v>66526.931673225015</v>
      </c>
      <c r="F6" s="36">
        <v>1</v>
      </c>
      <c r="G6" s="35">
        <v>66526.931673225015</v>
      </c>
      <c r="H6" s="36">
        <v>1</v>
      </c>
      <c r="I6" s="35">
        <v>66526.931673225015</v>
      </c>
      <c r="J6" s="36">
        <v>1</v>
      </c>
      <c r="K6" s="35">
        <v>0</v>
      </c>
      <c r="L6" s="36">
        <v>0</v>
      </c>
    </row>
    <row r="7" spans="1:12" ht="30" x14ac:dyDescent="0.25">
      <c r="A7" s="34" t="s">
        <v>54</v>
      </c>
      <c r="B7" s="34" t="s">
        <v>80</v>
      </c>
      <c r="C7" s="34" t="s">
        <v>59</v>
      </c>
      <c r="D7" s="35">
        <v>27322.570000000014</v>
      </c>
      <c r="E7" s="35">
        <v>27322.570000000014</v>
      </c>
      <c r="F7" s="36">
        <v>1</v>
      </c>
      <c r="G7" s="35">
        <v>27322.570000000014</v>
      </c>
      <c r="H7" s="36">
        <v>1</v>
      </c>
      <c r="I7" s="35">
        <v>27322.570000000014</v>
      </c>
      <c r="J7" s="36">
        <v>1</v>
      </c>
      <c r="K7" s="35">
        <v>0</v>
      </c>
      <c r="L7" s="36">
        <v>0</v>
      </c>
    </row>
    <row r="8" spans="1:12" ht="30" x14ac:dyDescent="0.25">
      <c r="A8" s="34" t="s">
        <v>54</v>
      </c>
      <c r="B8" s="34" t="s">
        <v>89</v>
      </c>
      <c r="C8" s="34" t="s">
        <v>59</v>
      </c>
      <c r="D8" s="35">
        <v>7733.1</v>
      </c>
      <c r="E8" s="35">
        <v>7733.1</v>
      </c>
      <c r="F8" s="36">
        <v>1</v>
      </c>
      <c r="G8" s="35">
        <v>7733.1</v>
      </c>
      <c r="H8" s="36">
        <v>1</v>
      </c>
      <c r="I8" s="35">
        <v>0</v>
      </c>
      <c r="J8" s="36">
        <v>0</v>
      </c>
      <c r="K8" s="35">
        <v>0</v>
      </c>
      <c r="L8" s="36">
        <v>0</v>
      </c>
    </row>
    <row r="9" spans="1:12" ht="30" x14ac:dyDescent="0.25">
      <c r="A9" s="34" t="s">
        <v>54</v>
      </c>
      <c r="B9" s="34" t="s">
        <v>90</v>
      </c>
      <c r="C9" s="34" t="s">
        <v>59</v>
      </c>
      <c r="D9" s="35">
        <v>12606.7</v>
      </c>
      <c r="E9" s="35">
        <v>12606.7</v>
      </c>
      <c r="F9" s="36">
        <v>1</v>
      </c>
      <c r="G9" s="35">
        <v>12606.7</v>
      </c>
      <c r="H9" s="36">
        <v>1</v>
      </c>
      <c r="I9" s="35">
        <v>12606.7</v>
      </c>
      <c r="J9" s="36">
        <v>1</v>
      </c>
      <c r="K9" s="35">
        <v>0</v>
      </c>
      <c r="L9" s="36">
        <v>0</v>
      </c>
    </row>
    <row r="10" spans="1:12" ht="30" x14ac:dyDescent="0.25">
      <c r="A10" s="34" t="s">
        <v>54</v>
      </c>
      <c r="B10" s="34" t="s">
        <v>87</v>
      </c>
      <c r="C10" s="34" t="s">
        <v>59</v>
      </c>
      <c r="D10" s="35">
        <v>11821.4</v>
      </c>
      <c r="E10" s="35">
        <v>11821.4</v>
      </c>
      <c r="F10" s="36">
        <v>1</v>
      </c>
      <c r="G10" s="35">
        <v>11821.4</v>
      </c>
      <c r="H10" s="36">
        <v>1</v>
      </c>
      <c r="I10" s="35">
        <v>11821.4</v>
      </c>
      <c r="J10" s="36">
        <v>1</v>
      </c>
      <c r="K10" s="35">
        <v>216.72407407407408</v>
      </c>
      <c r="L10" s="36">
        <v>1.833319861218418E-2</v>
      </c>
    </row>
    <row r="11" spans="1:12" ht="30" x14ac:dyDescent="0.25">
      <c r="A11" s="34" t="s">
        <v>54</v>
      </c>
      <c r="B11" s="34" t="s">
        <v>93</v>
      </c>
      <c r="C11" s="34" t="s">
        <v>59</v>
      </c>
      <c r="D11" s="35">
        <v>13648.2</v>
      </c>
      <c r="E11" s="35">
        <v>13648.2</v>
      </c>
      <c r="F11" s="36">
        <v>1</v>
      </c>
      <c r="G11" s="35">
        <v>13648.2</v>
      </c>
      <c r="H11" s="36">
        <v>1</v>
      </c>
      <c r="I11" s="35">
        <v>13648.2</v>
      </c>
      <c r="J11" s="36">
        <v>1</v>
      </c>
      <c r="K11" s="35">
        <v>0</v>
      </c>
      <c r="L11" s="36">
        <v>0</v>
      </c>
    </row>
    <row r="12" spans="1:12" ht="30" x14ac:dyDescent="0.25">
      <c r="A12" s="34" t="s">
        <v>54</v>
      </c>
      <c r="B12" s="34" t="s">
        <v>58</v>
      </c>
      <c r="C12" s="34" t="s">
        <v>59</v>
      </c>
      <c r="D12" s="35">
        <v>18015.7</v>
      </c>
      <c r="E12" s="35">
        <v>18015.7</v>
      </c>
      <c r="F12" s="36">
        <v>1</v>
      </c>
      <c r="G12" s="35">
        <v>18015.7</v>
      </c>
      <c r="H12" s="36">
        <v>1</v>
      </c>
      <c r="I12" s="35">
        <v>18015.7</v>
      </c>
      <c r="J12" s="36">
        <v>1</v>
      </c>
      <c r="K12" s="35">
        <v>4230.9227077085816</v>
      </c>
      <c r="L12" s="36">
        <v>0.23484642327017999</v>
      </c>
    </row>
    <row r="13" spans="1:12" ht="30" x14ac:dyDescent="0.25">
      <c r="A13" s="34" t="s">
        <v>54</v>
      </c>
      <c r="B13" s="34" t="s">
        <v>77</v>
      </c>
      <c r="C13" s="34" t="s">
        <v>59</v>
      </c>
      <c r="D13" s="35">
        <v>14499.95</v>
      </c>
      <c r="E13" s="35">
        <v>14499.95</v>
      </c>
      <c r="F13" s="36">
        <v>1</v>
      </c>
      <c r="G13" s="35">
        <v>14499.95</v>
      </c>
      <c r="H13" s="36">
        <v>1</v>
      </c>
      <c r="I13" s="35">
        <v>14499.95</v>
      </c>
      <c r="J13" s="36">
        <v>1</v>
      </c>
      <c r="K13" s="35">
        <v>4423.4099160559299</v>
      </c>
      <c r="L13" s="36">
        <v>0.3050638047755978</v>
      </c>
    </row>
    <row r="14" spans="1:12" x14ac:dyDescent="0.25">
      <c r="A14" s="34" t="s">
        <v>54</v>
      </c>
      <c r="B14" s="34" t="s">
        <v>62</v>
      </c>
      <c r="C14" s="34" t="s">
        <v>63</v>
      </c>
      <c r="D14" s="35">
        <v>103272.7</v>
      </c>
      <c r="E14" s="35">
        <v>65224.863157894732</v>
      </c>
      <c r="F14" s="36">
        <v>0.63157894736842102</v>
      </c>
      <c r="G14" s="35">
        <v>59789.457894736843</v>
      </c>
      <c r="H14" s="36">
        <v>0.57894736842105265</v>
      </c>
      <c r="I14" s="35">
        <v>0</v>
      </c>
      <c r="J14" s="36">
        <v>0</v>
      </c>
      <c r="K14" s="35">
        <v>0</v>
      </c>
      <c r="L14" s="36">
        <v>0</v>
      </c>
    </row>
    <row r="15" spans="1:12" x14ac:dyDescent="0.25">
      <c r="A15" s="34" t="s">
        <v>54</v>
      </c>
      <c r="B15" s="34" t="s">
        <v>64</v>
      </c>
      <c r="C15" s="34" t="s">
        <v>65</v>
      </c>
      <c r="D15" s="35">
        <v>21757.69</v>
      </c>
      <c r="E15" s="35">
        <v>0</v>
      </c>
      <c r="F15" s="36">
        <v>0</v>
      </c>
      <c r="G15" s="35">
        <v>0</v>
      </c>
      <c r="H15" s="36">
        <v>0</v>
      </c>
      <c r="I15" s="35">
        <v>0</v>
      </c>
      <c r="J15" s="36">
        <v>0</v>
      </c>
      <c r="K15" s="35">
        <v>2607.4421395327126</v>
      </c>
      <c r="L15" s="36">
        <v>0.11984002619454145</v>
      </c>
    </row>
    <row r="16" spans="1:12" x14ac:dyDescent="0.25">
      <c r="A16" s="34" t="s">
        <v>54</v>
      </c>
      <c r="B16" s="34" t="s">
        <v>64</v>
      </c>
      <c r="C16" s="34" t="s">
        <v>66</v>
      </c>
      <c r="D16" s="35">
        <v>21757.69</v>
      </c>
      <c r="E16" s="35">
        <v>14505.126666666665</v>
      </c>
      <c r="F16" s="36">
        <v>0.66666666666666663</v>
      </c>
      <c r="G16" s="35">
        <v>0</v>
      </c>
      <c r="H16" s="36">
        <v>0</v>
      </c>
      <c r="I16" s="35">
        <v>0</v>
      </c>
      <c r="J16" s="36">
        <v>0</v>
      </c>
      <c r="K16" s="35">
        <v>0</v>
      </c>
      <c r="L16" s="36">
        <v>0</v>
      </c>
    </row>
    <row r="17" spans="1:12" x14ac:dyDescent="0.25">
      <c r="A17" s="34" t="s">
        <v>54</v>
      </c>
      <c r="B17" s="34" t="s">
        <v>64</v>
      </c>
      <c r="C17" s="34" t="s">
        <v>63</v>
      </c>
      <c r="D17" s="35">
        <v>21757.69</v>
      </c>
      <c r="E17" s="35">
        <v>0</v>
      </c>
      <c r="F17" s="36">
        <v>0</v>
      </c>
      <c r="G17" s="35">
        <v>0</v>
      </c>
      <c r="H17" s="36">
        <v>0</v>
      </c>
      <c r="I17" s="35">
        <v>0</v>
      </c>
      <c r="J17" s="36">
        <v>0</v>
      </c>
      <c r="K17" s="35">
        <v>0</v>
      </c>
      <c r="L17" s="36">
        <v>0</v>
      </c>
    </row>
    <row r="18" spans="1:12" x14ac:dyDescent="0.25">
      <c r="A18" s="34" t="s">
        <v>54</v>
      </c>
      <c r="B18" s="34" t="s">
        <v>64</v>
      </c>
      <c r="C18" s="34" t="s">
        <v>67</v>
      </c>
      <c r="D18" s="35">
        <v>21757.69</v>
      </c>
      <c r="E18" s="35">
        <v>0</v>
      </c>
      <c r="F18" s="36">
        <v>0</v>
      </c>
      <c r="G18" s="35">
        <v>0</v>
      </c>
      <c r="H18" s="36">
        <v>0</v>
      </c>
      <c r="I18" s="35">
        <v>0</v>
      </c>
      <c r="J18" s="36">
        <v>0</v>
      </c>
      <c r="K18" s="35">
        <v>0</v>
      </c>
      <c r="L18" s="36">
        <v>0</v>
      </c>
    </row>
    <row r="19" spans="1:12" x14ac:dyDescent="0.25">
      <c r="A19" s="34" t="s">
        <v>54</v>
      </c>
      <c r="B19" s="34" t="s">
        <v>71</v>
      </c>
      <c r="C19" s="34" t="s">
        <v>63</v>
      </c>
      <c r="D19" s="35">
        <v>82046.400000000009</v>
      </c>
      <c r="E19" s="35">
        <v>82046.400000000009</v>
      </c>
      <c r="F19" s="36">
        <v>1</v>
      </c>
      <c r="G19" s="35">
        <v>82046.400000000009</v>
      </c>
      <c r="H19" s="36">
        <v>1</v>
      </c>
      <c r="I19" s="35">
        <v>82046.400000000009</v>
      </c>
      <c r="J19" s="36">
        <v>1</v>
      </c>
      <c r="K19" s="35">
        <v>0</v>
      </c>
      <c r="L19" s="36">
        <v>0</v>
      </c>
    </row>
    <row r="20" spans="1:12" x14ac:dyDescent="0.25">
      <c r="A20" s="34" t="s">
        <v>54</v>
      </c>
      <c r="B20" s="34" t="s">
        <v>75</v>
      </c>
      <c r="C20" s="34" t="s">
        <v>76</v>
      </c>
      <c r="D20" s="35">
        <v>96422.23</v>
      </c>
      <c r="E20" s="35">
        <v>96422.23</v>
      </c>
      <c r="F20" s="36">
        <v>1</v>
      </c>
      <c r="G20" s="35">
        <v>96422.23</v>
      </c>
      <c r="H20" s="36">
        <v>1</v>
      </c>
      <c r="I20" s="35">
        <v>96422.23</v>
      </c>
      <c r="J20" s="36">
        <v>1</v>
      </c>
      <c r="K20" s="35">
        <v>0</v>
      </c>
      <c r="L20" s="36">
        <v>0</v>
      </c>
    </row>
    <row r="21" spans="1:12" x14ac:dyDescent="0.25">
      <c r="A21" s="34" t="s">
        <v>54</v>
      </c>
      <c r="B21" s="34" t="s">
        <v>81</v>
      </c>
      <c r="C21" s="34" t="s">
        <v>30</v>
      </c>
      <c r="D21" s="35">
        <v>89010.219999999987</v>
      </c>
      <c r="E21" s="35">
        <v>89010.219999999987</v>
      </c>
      <c r="F21" s="36">
        <v>1</v>
      </c>
      <c r="G21" s="35">
        <v>89010.219999999987</v>
      </c>
      <c r="H21" s="36">
        <v>1</v>
      </c>
      <c r="I21" s="35">
        <v>89010.219999999987</v>
      </c>
      <c r="J21" s="36">
        <v>1</v>
      </c>
      <c r="K21" s="35">
        <v>0</v>
      </c>
      <c r="L21" s="36">
        <v>0</v>
      </c>
    </row>
    <row r="22" spans="1:12" x14ac:dyDescent="0.25">
      <c r="A22" s="34" t="s">
        <v>54</v>
      </c>
      <c r="B22" s="34" t="s">
        <v>85</v>
      </c>
      <c r="C22" s="34" t="s">
        <v>30</v>
      </c>
      <c r="D22" s="35">
        <v>88239.10000000002</v>
      </c>
      <c r="E22" s="35">
        <v>88239.10000000002</v>
      </c>
      <c r="F22" s="36">
        <v>1</v>
      </c>
      <c r="G22" s="35">
        <v>88239.10000000002</v>
      </c>
      <c r="H22" s="36">
        <v>1</v>
      </c>
      <c r="I22" s="35">
        <v>0</v>
      </c>
      <c r="J22" s="36">
        <v>0</v>
      </c>
      <c r="K22" s="35">
        <v>0</v>
      </c>
      <c r="L22" s="36">
        <v>0</v>
      </c>
    </row>
    <row r="23" spans="1:12" x14ac:dyDescent="0.25">
      <c r="A23" s="34" t="s">
        <v>54</v>
      </c>
      <c r="B23" s="34" t="s">
        <v>86</v>
      </c>
      <c r="C23" s="34" t="s">
        <v>30</v>
      </c>
      <c r="D23" s="35">
        <v>61132.493900000001</v>
      </c>
      <c r="E23" s="35">
        <v>61132.493900000001</v>
      </c>
      <c r="F23" s="36">
        <v>1</v>
      </c>
      <c r="G23" s="35">
        <v>0</v>
      </c>
      <c r="H23" s="36">
        <v>0</v>
      </c>
      <c r="I23" s="35">
        <v>0</v>
      </c>
      <c r="J23" s="36">
        <v>0</v>
      </c>
      <c r="K23" s="35">
        <v>0</v>
      </c>
      <c r="L23" s="36">
        <v>0</v>
      </c>
    </row>
    <row r="24" spans="1:12" x14ac:dyDescent="0.25">
      <c r="A24" s="34" t="s">
        <v>54</v>
      </c>
      <c r="B24" s="34" t="s">
        <v>88</v>
      </c>
      <c r="C24" s="34" t="s">
        <v>63</v>
      </c>
      <c r="D24" s="35">
        <v>62868.84</v>
      </c>
      <c r="E24" s="35">
        <v>20432.373</v>
      </c>
      <c r="F24" s="36">
        <v>0.32500000000000001</v>
      </c>
      <c r="G24" s="35">
        <v>18860.651999999998</v>
      </c>
      <c r="H24" s="36">
        <v>0.3</v>
      </c>
      <c r="I24" s="35">
        <v>14145.489</v>
      </c>
      <c r="J24" s="36">
        <v>0.22500000000000001</v>
      </c>
      <c r="K24" s="35">
        <v>0</v>
      </c>
      <c r="L24" s="36">
        <v>0</v>
      </c>
    </row>
    <row r="25" spans="1:12" x14ac:dyDescent="0.25">
      <c r="A25" s="34" t="s">
        <v>54</v>
      </c>
      <c r="B25" s="34" t="s">
        <v>91</v>
      </c>
      <c r="C25" s="34" t="s">
        <v>63</v>
      </c>
      <c r="D25" s="35">
        <v>76828.36</v>
      </c>
      <c r="E25" s="35">
        <v>0</v>
      </c>
      <c r="F25" s="36">
        <v>0</v>
      </c>
      <c r="G25" s="35">
        <v>0</v>
      </c>
      <c r="H25" s="36">
        <v>0</v>
      </c>
      <c r="I25" s="35">
        <v>0</v>
      </c>
      <c r="J25" s="36">
        <v>0</v>
      </c>
      <c r="K25" s="35">
        <v>0</v>
      </c>
      <c r="L25" s="36">
        <v>0</v>
      </c>
    </row>
    <row r="26" spans="1:12" x14ac:dyDescent="0.25">
      <c r="A26" s="34" t="s">
        <v>27</v>
      </c>
      <c r="B26" s="34" t="s">
        <v>28</v>
      </c>
      <c r="C26" s="34" t="s">
        <v>30</v>
      </c>
      <c r="D26" s="35">
        <v>166217.75</v>
      </c>
      <c r="E26" s="35">
        <v>166217.75</v>
      </c>
      <c r="F26" s="36">
        <v>1</v>
      </c>
      <c r="G26" s="35">
        <v>166217.75</v>
      </c>
      <c r="H26" s="36">
        <v>1</v>
      </c>
      <c r="I26" s="35">
        <v>166217.75</v>
      </c>
      <c r="J26" s="36">
        <v>1</v>
      </c>
      <c r="K26" s="35">
        <v>0</v>
      </c>
      <c r="L26" s="36">
        <v>0</v>
      </c>
    </row>
    <row r="27" spans="1:12" ht="45" x14ac:dyDescent="0.25">
      <c r="A27" s="34" t="s">
        <v>27</v>
      </c>
      <c r="B27" s="34" t="s">
        <v>96</v>
      </c>
      <c r="C27" s="34" t="s">
        <v>32</v>
      </c>
      <c r="D27" s="35">
        <v>10000</v>
      </c>
      <c r="E27" s="35">
        <v>10000</v>
      </c>
      <c r="F27" s="36">
        <v>1</v>
      </c>
      <c r="G27" s="35">
        <v>10000</v>
      </c>
      <c r="H27" s="36">
        <v>1</v>
      </c>
      <c r="I27" s="35">
        <v>10000</v>
      </c>
      <c r="J27" s="36">
        <v>1</v>
      </c>
      <c r="K27" s="37"/>
      <c r="L27" s="37"/>
    </row>
    <row r="28" spans="1:12" x14ac:dyDescent="0.25">
      <c r="A28" s="34" t="s">
        <v>27</v>
      </c>
      <c r="B28" s="34" t="s">
        <v>31</v>
      </c>
      <c r="C28" s="34" t="s">
        <v>33</v>
      </c>
      <c r="D28" s="35">
        <v>105523.13032</v>
      </c>
      <c r="E28" s="35">
        <v>105523.13032</v>
      </c>
      <c r="F28" s="36">
        <v>1</v>
      </c>
      <c r="G28" s="35">
        <v>105523.13032</v>
      </c>
      <c r="H28" s="36">
        <v>1</v>
      </c>
      <c r="I28" s="35">
        <v>105523.13032</v>
      </c>
      <c r="J28" s="36">
        <v>1</v>
      </c>
      <c r="K28" s="35">
        <v>0</v>
      </c>
      <c r="L28" s="36">
        <v>0</v>
      </c>
    </row>
    <row r="29" spans="1:12" ht="45" x14ac:dyDescent="0.25">
      <c r="A29" s="34" t="s">
        <v>27</v>
      </c>
      <c r="B29" s="34" t="s">
        <v>97</v>
      </c>
      <c r="C29" s="34" t="s">
        <v>35</v>
      </c>
      <c r="D29" s="35">
        <v>8130</v>
      </c>
      <c r="E29" s="35">
        <v>8130</v>
      </c>
      <c r="F29" s="36">
        <v>1</v>
      </c>
      <c r="G29" s="35">
        <v>8130</v>
      </c>
      <c r="H29" s="36">
        <v>1</v>
      </c>
      <c r="I29" s="35">
        <v>8130</v>
      </c>
      <c r="J29" s="36">
        <v>1</v>
      </c>
      <c r="K29" s="37"/>
      <c r="L29" s="37"/>
    </row>
    <row r="30" spans="1:12" x14ac:dyDescent="0.25">
      <c r="A30" s="34" t="s">
        <v>27</v>
      </c>
      <c r="B30" s="34" t="s">
        <v>34</v>
      </c>
      <c r="C30" s="34" t="s">
        <v>36</v>
      </c>
      <c r="D30" s="35">
        <v>23734.43</v>
      </c>
      <c r="E30" s="35">
        <v>23734.43</v>
      </c>
      <c r="F30" s="36">
        <v>1</v>
      </c>
      <c r="G30" s="35">
        <v>23734.43</v>
      </c>
      <c r="H30" s="36">
        <v>1</v>
      </c>
      <c r="I30" s="35">
        <v>23734.43</v>
      </c>
      <c r="J30" s="36">
        <v>1</v>
      </c>
      <c r="K30" s="35">
        <v>23734.43</v>
      </c>
      <c r="L30" s="36">
        <v>1</v>
      </c>
    </row>
    <row r="31" spans="1:12" x14ac:dyDescent="0.25">
      <c r="A31" s="34" t="s">
        <v>27</v>
      </c>
      <c r="B31" s="34" t="s">
        <v>95</v>
      </c>
      <c r="C31" s="34" t="s">
        <v>29</v>
      </c>
      <c r="D31" s="35">
        <v>38873.682999999997</v>
      </c>
      <c r="E31" s="35">
        <v>38873.682999999997</v>
      </c>
      <c r="F31" s="36">
        <v>1</v>
      </c>
      <c r="G31" s="35">
        <v>38873.682999999997</v>
      </c>
      <c r="H31" s="36">
        <v>1</v>
      </c>
      <c r="I31" s="35">
        <v>38873.682999999997</v>
      </c>
      <c r="J31" s="36">
        <v>1</v>
      </c>
      <c r="K31" s="37"/>
      <c r="L31" s="37"/>
    </row>
    <row r="32" spans="1:12" x14ac:dyDescent="0.25">
      <c r="A32" s="34" t="s">
        <v>37</v>
      </c>
      <c r="B32" s="34" t="s">
        <v>38</v>
      </c>
      <c r="C32" s="34" t="s">
        <v>30</v>
      </c>
      <c r="D32" s="35">
        <v>176865.63999999998</v>
      </c>
      <c r="E32" s="35">
        <v>176865.63999999998</v>
      </c>
      <c r="F32" s="36">
        <v>1</v>
      </c>
      <c r="G32" s="35">
        <v>176865.63999999998</v>
      </c>
      <c r="H32" s="36">
        <v>1</v>
      </c>
      <c r="I32" s="35">
        <v>176865.63999999998</v>
      </c>
      <c r="J32" s="36">
        <v>1</v>
      </c>
      <c r="K32" s="35">
        <v>0</v>
      </c>
      <c r="L32" s="36">
        <v>0</v>
      </c>
    </row>
    <row r="33" spans="1:12" ht="45" x14ac:dyDescent="0.25">
      <c r="A33" s="34" t="s">
        <v>37</v>
      </c>
      <c r="B33" s="34" t="s">
        <v>98</v>
      </c>
      <c r="C33" s="34" t="s">
        <v>40</v>
      </c>
      <c r="D33" s="35">
        <v>28853.47</v>
      </c>
      <c r="E33" s="35">
        <v>28853.47</v>
      </c>
      <c r="F33" s="36">
        <v>1</v>
      </c>
      <c r="G33" s="35">
        <v>28853.47</v>
      </c>
      <c r="H33" s="36">
        <v>1</v>
      </c>
      <c r="I33" s="35">
        <v>28853.47</v>
      </c>
      <c r="J33" s="36">
        <v>1</v>
      </c>
      <c r="K33" s="37"/>
      <c r="L33" s="37"/>
    </row>
    <row r="34" spans="1:12" x14ac:dyDescent="0.25">
      <c r="A34" s="34" t="s">
        <v>37</v>
      </c>
      <c r="B34" s="34" t="s">
        <v>39</v>
      </c>
      <c r="C34" s="34" t="s">
        <v>41</v>
      </c>
      <c r="D34" s="35">
        <v>48011.730000000018</v>
      </c>
      <c r="E34" s="35">
        <v>48011.730000000018</v>
      </c>
      <c r="F34" s="36">
        <v>1</v>
      </c>
      <c r="G34" s="35">
        <v>48011.730000000018</v>
      </c>
      <c r="H34" s="36">
        <v>1</v>
      </c>
      <c r="I34" s="35">
        <v>48011.730000000018</v>
      </c>
      <c r="J34" s="36">
        <v>1</v>
      </c>
      <c r="K34" s="35">
        <v>0</v>
      </c>
      <c r="L34" s="36">
        <v>0</v>
      </c>
    </row>
    <row r="35" spans="1:12" x14ac:dyDescent="0.25">
      <c r="A35" s="34" t="s">
        <v>48</v>
      </c>
      <c r="B35" s="34" t="s">
        <v>50</v>
      </c>
      <c r="C35" s="34" t="s">
        <v>30</v>
      </c>
      <c r="D35" s="35">
        <v>161909.82999999999</v>
      </c>
      <c r="E35" s="35">
        <v>161909.82999999999</v>
      </c>
      <c r="F35" s="36">
        <v>1</v>
      </c>
      <c r="G35" s="35">
        <v>161909.82999999999</v>
      </c>
      <c r="H35" s="36">
        <v>1</v>
      </c>
      <c r="I35" s="35">
        <v>161909.82999999999</v>
      </c>
      <c r="J35" s="36">
        <v>1</v>
      </c>
      <c r="K35" s="35">
        <v>0</v>
      </c>
      <c r="L35" s="36">
        <v>0</v>
      </c>
    </row>
    <row r="36" spans="1:12" ht="45" x14ac:dyDescent="0.25">
      <c r="A36" s="34" t="s">
        <v>48</v>
      </c>
      <c r="B36" s="34" t="s">
        <v>99</v>
      </c>
      <c r="C36" s="34" t="s">
        <v>40</v>
      </c>
      <c r="D36" s="35">
        <v>36020.75</v>
      </c>
      <c r="E36" s="35">
        <v>36020.75</v>
      </c>
      <c r="F36" s="36">
        <v>1</v>
      </c>
      <c r="G36" s="35">
        <v>36020.75</v>
      </c>
      <c r="H36" s="36">
        <v>1</v>
      </c>
      <c r="I36" s="35">
        <v>36020.75</v>
      </c>
      <c r="J36" s="36">
        <v>1</v>
      </c>
      <c r="K36" s="37"/>
      <c r="L36" s="37"/>
    </row>
    <row r="37" spans="1:12" x14ac:dyDescent="0.25">
      <c r="A37" s="34" t="s">
        <v>48</v>
      </c>
      <c r="B37" s="34" t="s">
        <v>49</v>
      </c>
      <c r="C37" s="34" t="s">
        <v>41</v>
      </c>
      <c r="D37" s="35">
        <v>161909.82999999999</v>
      </c>
      <c r="E37" s="35">
        <v>161909.82999999999</v>
      </c>
      <c r="F37" s="36">
        <v>1</v>
      </c>
      <c r="G37" s="35">
        <v>161909.82999999999</v>
      </c>
      <c r="H37" s="36">
        <v>1</v>
      </c>
      <c r="I37" s="35">
        <v>161909.82999999999</v>
      </c>
      <c r="J37" s="36">
        <v>1</v>
      </c>
      <c r="K37" s="35">
        <v>0</v>
      </c>
      <c r="L37" s="36">
        <v>0</v>
      </c>
    </row>
    <row r="38" spans="1:12" x14ac:dyDescent="0.25">
      <c r="A38" s="34" t="s">
        <v>48</v>
      </c>
      <c r="B38" s="34" t="s">
        <v>53</v>
      </c>
      <c r="C38" s="34" t="s">
        <v>30</v>
      </c>
      <c r="D38" s="35">
        <v>38583.480000000003</v>
      </c>
      <c r="E38" s="35">
        <v>38583.480000000003</v>
      </c>
      <c r="F38" s="36">
        <v>1</v>
      </c>
      <c r="G38" s="35">
        <v>38583.480000000003</v>
      </c>
      <c r="H38" s="36">
        <v>1</v>
      </c>
      <c r="I38" s="35">
        <v>38583.480000000003</v>
      </c>
      <c r="J38" s="36">
        <v>1</v>
      </c>
      <c r="K38" s="35">
        <v>350.74984454545466</v>
      </c>
      <c r="L38" s="36">
        <v>9.0906741575787001E-3</v>
      </c>
    </row>
    <row r="39" spans="1:12" x14ac:dyDescent="0.25">
      <c r="A39" s="34" t="s">
        <v>42</v>
      </c>
      <c r="B39" s="34" t="s">
        <v>43</v>
      </c>
      <c r="C39" s="34" t="s">
        <v>30</v>
      </c>
      <c r="D39" s="35">
        <v>117331.46</v>
      </c>
      <c r="E39" s="35">
        <v>117331.46</v>
      </c>
      <c r="F39" s="36">
        <v>1</v>
      </c>
      <c r="G39" s="35">
        <v>117331.46</v>
      </c>
      <c r="H39" s="36">
        <v>1</v>
      </c>
      <c r="I39" s="35">
        <v>117331.46</v>
      </c>
      <c r="J39" s="36">
        <v>1</v>
      </c>
      <c r="K39" s="35">
        <v>117331.46</v>
      </c>
      <c r="L39" s="36">
        <v>1</v>
      </c>
    </row>
    <row r="40" spans="1:12" ht="45" x14ac:dyDescent="0.25">
      <c r="A40" s="34" t="s">
        <v>42</v>
      </c>
      <c r="B40" s="34" t="s">
        <v>100</v>
      </c>
      <c r="C40" s="34" t="s">
        <v>40</v>
      </c>
      <c r="D40" s="35">
        <v>32085.040000000001</v>
      </c>
      <c r="E40" s="35">
        <v>32085.040000000001</v>
      </c>
      <c r="F40" s="36">
        <v>1</v>
      </c>
      <c r="G40" s="35">
        <v>32085.040000000001</v>
      </c>
      <c r="H40" s="36">
        <v>1</v>
      </c>
      <c r="I40" s="35">
        <v>32085.040000000001</v>
      </c>
      <c r="J40" s="36">
        <v>1</v>
      </c>
      <c r="K40" s="37"/>
      <c r="L40" s="37"/>
    </row>
    <row r="41" spans="1:12" x14ac:dyDescent="0.25">
      <c r="A41" s="34" t="s">
        <v>42</v>
      </c>
      <c r="B41" s="34" t="s">
        <v>44</v>
      </c>
      <c r="C41" s="34" t="s">
        <v>41</v>
      </c>
      <c r="D41" s="35">
        <v>52880.41</v>
      </c>
      <c r="E41" s="35">
        <v>52880.41</v>
      </c>
      <c r="F41" s="36">
        <v>1</v>
      </c>
      <c r="G41" s="35">
        <v>52880.41</v>
      </c>
      <c r="H41" s="36">
        <v>1</v>
      </c>
      <c r="I41" s="35">
        <v>52880.41</v>
      </c>
      <c r="J41" s="36">
        <v>1</v>
      </c>
      <c r="K41" s="35">
        <v>0</v>
      </c>
      <c r="L41" s="36">
        <v>0</v>
      </c>
    </row>
    <row r="42" spans="1:12" x14ac:dyDescent="0.25">
      <c r="A42" s="34" t="s">
        <v>42</v>
      </c>
      <c r="B42" s="34" t="s">
        <v>45</v>
      </c>
      <c r="C42" s="34" t="s">
        <v>46</v>
      </c>
      <c r="D42" s="35">
        <v>45569.88</v>
      </c>
      <c r="E42" s="35">
        <v>45569.88</v>
      </c>
      <c r="F42" s="36">
        <v>1</v>
      </c>
      <c r="G42" s="35">
        <v>45569.88</v>
      </c>
      <c r="H42" s="36">
        <v>1</v>
      </c>
      <c r="I42" s="35">
        <v>45569.88</v>
      </c>
      <c r="J42" s="36">
        <v>1</v>
      </c>
      <c r="K42" s="35">
        <v>45121.45</v>
      </c>
      <c r="L42" s="36">
        <v>0.99015950886857718</v>
      </c>
    </row>
    <row r="43" spans="1:12" x14ac:dyDescent="0.25">
      <c r="A43" s="34" t="s">
        <v>42</v>
      </c>
      <c r="B43" s="34" t="s">
        <v>92</v>
      </c>
      <c r="C43" s="34" t="s">
        <v>30</v>
      </c>
      <c r="D43" s="35">
        <v>23254.95</v>
      </c>
      <c r="E43" s="35">
        <v>23254.95</v>
      </c>
      <c r="F43" s="36">
        <v>1</v>
      </c>
      <c r="G43" s="35">
        <v>23254.95</v>
      </c>
      <c r="H43" s="36">
        <v>1</v>
      </c>
      <c r="I43" s="35">
        <v>23254.95</v>
      </c>
      <c r="J43" s="36">
        <v>1</v>
      </c>
      <c r="K43" s="35">
        <v>0</v>
      </c>
      <c r="L43" s="36">
        <v>0</v>
      </c>
    </row>
    <row r="44" spans="1:12" x14ac:dyDescent="0.25">
      <c r="A44" s="34" t="s">
        <v>47</v>
      </c>
      <c r="B44" s="34" t="s">
        <v>47</v>
      </c>
      <c r="C44" s="34" t="s">
        <v>30</v>
      </c>
      <c r="D44" s="35">
        <v>231366.76</v>
      </c>
      <c r="E44" s="35">
        <v>231366.76</v>
      </c>
      <c r="F44" s="36">
        <v>1</v>
      </c>
      <c r="G44" s="35">
        <v>231366.76</v>
      </c>
      <c r="H44" s="36">
        <v>1</v>
      </c>
      <c r="I44" s="35">
        <v>231366.76</v>
      </c>
      <c r="J44" s="36">
        <v>1</v>
      </c>
      <c r="K44" s="35">
        <v>197529.26080194977</v>
      </c>
      <c r="L44" s="36">
        <v>0.85374952219562461</v>
      </c>
    </row>
    <row r="45" spans="1:12" x14ac:dyDescent="0.25">
      <c r="A45" s="34" t="s">
        <v>51</v>
      </c>
      <c r="B45" s="34" t="s">
        <v>73</v>
      </c>
      <c r="C45" s="34" t="s">
        <v>30</v>
      </c>
      <c r="D45" s="35">
        <v>37063.279999999999</v>
      </c>
      <c r="E45" s="35">
        <v>37063.279999999999</v>
      </c>
      <c r="F45" s="36">
        <v>1</v>
      </c>
      <c r="G45" s="35">
        <v>37063.279999999999</v>
      </c>
      <c r="H45" s="36">
        <v>1</v>
      </c>
      <c r="I45" s="35">
        <v>31133.155199999997</v>
      </c>
      <c r="J45" s="36">
        <v>0.84</v>
      </c>
      <c r="K45" s="35">
        <v>0</v>
      </c>
      <c r="L45" s="36">
        <v>0</v>
      </c>
    </row>
    <row r="46" spans="1:12" x14ac:dyDescent="0.25">
      <c r="A46" s="34" t="s">
        <v>51</v>
      </c>
      <c r="B46" s="34" t="s">
        <v>73</v>
      </c>
      <c r="C46" s="34" t="s">
        <v>46</v>
      </c>
      <c r="D46" s="35">
        <v>37063.279999999999</v>
      </c>
      <c r="E46" s="35">
        <v>30617.492173913044</v>
      </c>
      <c r="F46" s="36">
        <v>0.82608695652173914</v>
      </c>
      <c r="G46" s="35">
        <v>30617.492173913044</v>
      </c>
      <c r="H46" s="36">
        <v>0.82608695652173914</v>
      </c>
      <c r="I46" s="35">
        <v>29006.045217391304</v>
      </c>
      <c r="J46" s="36">
        <v>0.78260869565217395</v>
      </c>
      <c r="K46" s="35">
        <v>0</v>
      </c>
      <c r="L46" s="36">
        <v>0</v>
      </c>
    </row>
    <row r="47" spans="1:12" x14ac:dyDescent="0.25">
      <c r="A47" s="34" t="s">
        <v>51</v>
      </c>
      <c r="B47" s="34" t="s">
        <v>73</v>
      </c>
      <c r="C47" s="34" t="s">
        <v>74</v>
      </c>
      <c r="D47" s="35">
        <v>37063.279999999999</v>
      </c>
      <c r="E47" s="35">
        <v>37063.279999999999</v>
      </c>
      <c r="F47" s="36">
        <v>1</v>
      </c>
      <c r="G47" s="35">
        <v>37063.279999999999</v>
      </c>
      <c r="H47" s="36">
        <v>1</v>
      </c>
      <c r="I47" s="35">
        <v>0</v>
      </c>
      <c r="J47" s="36">
        <v>0</v>
      </c>
      <c r="K47" s="35">
        <v>0</v>
      </c>
      <c r="L47" s="36">
        <v>0</v>
      </c>
    </row>
    <row r="48" spans="1:12" x14ac:dyDescent="0.25">
      <c r="A48" s="34" t="s">
        <v>51</v>
      </c>
      <c r="B48" s="34" t="s">
        <v>72</v>
      </c>
      <c r="C48" s="34" t="s">
        <v>46</v>
      </c>
      <c r="D48" s="35">
        <v>104346.74</v>
      </c>
      <c r="E48" s="35">
        <v>104346.74</v>
      </c>
      <c r="F48" s="36">
        <v>1</v>
      </c>
      <c r="G48" s="35">
        <v>104346.74</v>
      </c>
      <c r="H48" s="36">
        <v>1</v>
      </c>
      <c r="I48" s="35">
        <v>104346.74</v>
      </c>
      <c r="J48" s="36">
        <v>1</v>
      </c>
      <c r="K48" s="35">
        <v>0</v>
      </c>
      <c r="L48" s="36">
        <v>0</v>
      </c>
    </row>
    <row r="49" spans="1:12" x14ac:dyDescent="0.25">
      <c r="A49" s="34" t="s">
        <v>51</v>
      </c>
      <c r="B49" s="34" t="s">
        <v>69</v>
      </c>
      <c r="C49" s="34" t="s">
        <v>70</v>
      </c>
      <c r="D49" s="35">
        <v>103605.23999999983</v>
      </c>
      <c r="E49" s="35">
        <v>103605.23999999983</v>
      </c>
      <c r="F49" s="36">
        <v>1</v>
      </c>
      <c r="G49" s="35">
        <v>103605.23999999983</v>
      </c>
      <c r="H49" s="36">
        <v>1</v>
      </c>
      <c r="I49" s="35">
        <v>103605.23999999983</v>
      </c>
      <c r="J49" s="36">
        <v>1</v>
      </c>
      <c r="K49" s="35">
        <v>0</v>
      </c>
      <c r="L49" s="36">
        <v>0</v>
      </c>
    </row>
    <row r="50" spans="1:12" x14ac:dyDescent="0.25">
      <c r="A50" s="34" t="s">
        <v>51</v>
      </c>
      <c r="B50" s="34" t="s">
        <v>68</v>
      </c>
      <c r="C50" s="34" t="s">
        <v>30</v>
      </c>
      <c r="D50" s="35">
        <v>91700.06</v>
      </c>
      <c r="E50" s="35">
        <v>91700.06</v>
      </c>
      <c r="F50" s="36">
        <v>1</v>
      </c>
      <c r="G50" s="35">
        <v>91700.06</v>
      </c>
      <c r="H50" s="36">
        <v>1</v>
      </c>
      <c r="I50" s="35">
        <v>91700.06</v>
      </c>
      <c r="J50" s="36">
        <v>1</v>
      </c>
      <c r="K50" s="35">
        <v>9324.4140034894335</v>
      </c>
      <c r="L50" s="36">
        <v>0.10168383754044909</v>
      </c>
    </row>
    <row r="51" spans="1:12" x14ac:dyDescent="0.25">
      <c r="A51" s="34" t="s">
        <v>51</v>
      </c>
      <c r="B51" s="34" t="s">
        <v>68</v>
      </c>
      <c r="C51" s="34" t="s">
        <v>61</v>
      </c>
      <c r="D51" s="35">
        <v>3911.9090000000001</v>
      </c>
      <c r="E51" s="35">
        <v>3911.9090000000001</v>
      </c>
      <c r="F51" s="36">
        <v>1</v>
      </c>
      <c r="G51" s="35">
        <v>3911.9090000000001</v>
      </c>
      <c r="H51" s="36">
        <v>1</v>
      </c>
      <c r="I51" s="35">
        <v>3911.9090000000001</v>
      </c>
      <c r="J51" s="36">
        <v>1</v>
      </c>
      <c r="K51" s="35">
        <v>348.38469903147336</v>
      </c>
      <c r="L51" s="36">
        <v>8.9057465046214868E-2</v>
      </c>
    </row>
    <row r="52" spans="1:12" x14ac:dyDescent="0.25">
      <c r="A52" s="34" t="s">
        <v>51</v>
      </c>
      <c r="B52" s="34" t="s">
        <v>68</v>
      </c>
      <c r="C52" s="34" t="s">
        <v>46</v>
      </c>
      <c r="D52" s="35">
        <v>313.09100000000001</v>
      </c>
      <c r="E52" s="35">
        <v>313.09100000000001</v>
      </c>
      <c r="F52" s="36">
        <v>1</v>
      </c>
      <c r="G52" s="35">
        <v>313.09100000000001</v>
      </c>
      <c r="H52" s="36">
        <v>1</v>
      </c>
      <c r="I52" s="35">
        <v>313.09100000000001</v>
      </c>
      <c r="J52" s="36">
        <v>1</v>
      </c>
      <c r="K52" s="35">
        <v>313.09082429299076</v>
      </c>
      <c r="L52" s="36">
        <v>0.99999943879891395</v>
      </c>
    </row>
    <row r="53" spans="1:12" x14ac:dyDescent="0.25">
      <c r="A53" s="34" t="s">
        <v>51</v>
      </c>
      <c r="B53" s="34" t="s">
        <v>60</v>
      </c>
      <c r="C53" s="34" t="s">
        <v>30</v>
      </c>
      <c r="D53" s="35">
        <v>90800.14</v>
      </c>
      <c r="E53" s="35">
        <v>90800.14</v>
      </c>
      <c r="F53" s="36">
        <v>1</v>
      </c>
      <c r="G53" s="35">
        <v>90800.14</v>
      </c>
      <c r="H53" s="36">
        <v>1</v>
      </c>
      <c r="I53" s="35">
        <v>90800.14</v>
      </c>
      <c r="J53" s="36">
        <v>1</v>
      </c>
      <c r="K53" s="35">
        <v>10153.047824795449</v>
      </c>
      <c r="L53" s="36">
        <v>0.11181753491564494</v>
      </c>
    </row>
    <row r="54" spans="1:12" x14ac:dyDescent="0.25">
      <c r="A54" s="34" t="s">
        <v>51</v>
      </c>
      <c r="B54" s="34" t="s">
        <v>60</v>
      </c>
      <c r="C54" s="34" t="s">
        <v>61</v>
      </c>
      <c r="D54" s="35">
        <v>3099.45</v>
      </c>
      <c r="E54" s="35">
        <v>3099.45</v>
      </c>
      <c r="F54" s="36">
        <v>1</v>
      </c>
      <c r="G54" s="35">
        <v>3099.45</v>
      </c>
      <c r="H54" s="36">
        <v>1</v>
      </c>
      <c r="I54" s="35">
        <v>3099.45</v>
      </c>
      <c r="J54" s="36">
        <v>1</v>
      </c>
      <c r="K54" s="35">
        <v>316.12053666945536</v>
      </c>
      <c r="L54" s="36">
        <v>0.10199246210439122</v>
      </c>
    </row>
    <row r="55" spans="1:12" x14ac:dyDescent="0.25">
      <c r="A55" s="34" t="s">
        <v>51</v>
      </c>
      <c r="B55" s="34" t="s">
        <v>60</v>
      </c>
      <c r="C55" s="34" t="s">
        <v>46</v>
      </c>
      <c r="D55" s="35">
        <v>1909.55</v>
      </c>
      <c r="E55" s="35">
        <v>1909.55</v>
      </c>
      <c r="F55" s="36">
        <v>1</v>
      </c>
      <c r="G55" s="35">
        <v>1909.55</v>
      </c>
      <c r="H55" s="36">
        <v>1</v>
      </c>
      <c r="I55" s="35">
        <v>1909.55</v>
      </c>
      <c r="J55" s="36">
        <v>1</v>
      </c>
      <c r="K55" s="35">
        <v>1909.55</v>
      </c>
      <c r="L55" s="36">
        <v>1</v>
      </c>
    </row>
    <row r="56" spans="1:12" x14ac:dyDescent="0.25">
      <c r="A56" s="34" t="s">
        <v>51</v>
      </c>
      <c r="B56" s="34" t="s">
        <v>57</v>
      </c>
      <c r="C56" s="34" t="s">
        <v>30</v>
      </c>
      <c r="D56" s="35">
        <v>95335.083678390001</v>
      </c>
      <c r="E56" s="35">
        <v>95335.083678390001</v>
      </c>
      <c r="F56" s="36">
        <v>1</v>
      </c>
      <c r="G56" s="35">
        <v>95335.083678390001</v>
      </c>
      <c r="H56" s="36">
        <v>1</v>
      </c>
      <c r="I56" s="35">
        <v>95335.083678390001</v>
      </c>
      <c r="J56" s="36">
        <v>1</v>
      </c>
      <c r="K56" s="35">
        <v>10725.196913819915</v>
      </c>
      <c r="L56" s="36">
        <v>0.11250000000001091</v>
      </c>
    </row>
    <row r="57" spans="1:12" x14ac:dyDescent="0.25">
      <c r="A57" s="34" t="s">
        <v>51</v>
      </c>
      <c r="B57" s="34" t="s">
        <v>55</v>
      </c>
      <c r="C57" s="34" t="s">
        <v>30</v>
      </c>
      <c r="D57" s="35">
        <v>120097.08</v>
      </c>
      <c r="E57" s="35">
        <v>120097.08</v>
      </c>
      <c r="F57" s="36">
        <v>1</v>
      </c>
      <c r="G57" s="35">
        <v>120097.08</v>
      </c>
      <c r="H57" s="36">
        <v>1</v>
      </c>
      <c r="I57" s="35">
        <v>120097.08</v>
      </c>
      <c r="J57" s="36">
        <v>1</v>
      </c>
      <c r="K57" s="35">
        <v>0</v>
      </c>
      <c r="L57" s="36">
        <v>0</v>
      </c>
    </row>
    <row r="58" spans="1:12" x14ac:dyDescent="0.25">
      <c r="A58" s="34" t="s">
        <v>51</v>
      </c>
      <c r="B58" s="34" t="s">
        <v>55</v>
      </c>
      <c r="C58" s="34" t="s">
        <v>56</v>
      </c>
      <c r="D58" s="35">
        <v>377.43</v>
      </c>
      <c r="E58" s="35">
        <v>377.43</v>
      </c>
      <c r="F58" s="36">
        <v>1</v>
      </c>
      <c r="G58" s="35">
        <v>377.43</v>
      </c>
      <c r="H58" s="36">
        <v>1</v>
      </c>
      <c r="I58" s="35">
        <v>377.43</v>
      </c>
      <c r="J58" s="36">
        <v>1</v>
      </c>
      <c r="K58" s="35">
        <v>0</v>
      </c>
      <c r="L58" s="36">
        <v>0</v>
      </c>
    </row>
    <row r="59" spans="1:12" x14ac:dyDescent="0.25">
      <c r="A59" s="34" t="s">
        <v>51</v>
      </c>
      <c r="B59" s="34" t="s">
        <v>55</v>
      </c>
      <c r="C59" s="34" t="s">
        <v>46</v>
      </c>
      <c r="D59" s="35">
        <v>14276.642999</v>
      </c>
      <c r="E59" s="35">
        <v>14276.642999</v>
      </c>
      <c r="F59" s="36">
        <v>1</v>
      </c>
      <c r="G59" s="35">
        <v>14276.642999</v>
      </c>
      <c r="H59" s="36">
        <v>1</v>
      </c>
      <c r="I59" s="35">
        <v>14276.642999</v>
      </c>
      <c r="J59" s="36">
        <v>1</v>
      </c>
      <c r="K59" s="35">
        <v>0</v>
      </c>
      <c r="L59" s="36">
        <v>0</v>
      </c>
    </row>
    <row r="60" spans="1:12" x14ac:dyDescent="0.25">
      <c r="A60" s="34" t="s">
        <v>51</v>
      </c>
      <c r="B60" s="34" t="s">
        <v>52</v>
      </c>
      <c r="C60" s="34" t="s">
        <v>30</v>
      </c>
      <c r="D60" s="35">
        <v>68960.590000000026</v>
      </c>
      <c r="E60" s="35">
        <v>68960.590000000026</v>
      </c>
      <c r="F60" s="36">
        <v>1</v>
      </c>
      <c r="G60" s="35">
        <v>68960.590000000026</v>
      </c>
      <c r="H60" s="36">
        <v>1</v>
      </c>
      <c r="I60" s="35">
        <v>68960.590000000026</v>
      </c>
      <c r="J60" s="36">
        <v>1</v>
      </c>
      <c r="K60" s="35">
        <v>10984.872743362903</v>
      </c>
      <c r="L60" s="36">
        <v>0.15929203539823106</v>
      </c>
    </row>
    <row r="61" spans="1:12" ht="30" x14ac:dyDescent="0.25">
      <c r="A61" s="36" t="s">
        <v>114</v>
      </c>
      <c r="B61" s="36" t="s">
        <v>114</v>
      </c>
      <c r="C61" s="36" t="s">
        <v>114</v>
      </c>
      <c r="D61" s="36" t="s">
        <v>120</v>
      </c>
      <c r="E61" s="36" t="s">
        <v>121</v>
      </c>
      <c r="F61" s="36" t="s">
        <v>114</v>
      </c>
      <c r="G61" s="36" t="s">
        <v>122</v>
      </c>
      <c r="H61" s="36" t="s">
        <v>114</v>
      </c>
      <c r="I61" s="36" t="s">
        <v>123</v>
      </c>
      <c r="J61" s="36" t="s">
        <v>114</v>
      </c>
      <c r="K61" s="36" t="s">
        <v>115</v>
      </c>
      <c r="L61" s="36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L64"/>
  <sheetViews>
    <sheetView topLeftCell="A37" workbookViewId="0">
      <selection activeCell="A2" sqref="A2:L60"/>
    </sheetView>
  </sheetViews>
  <sheetFormatPr defaultRowHeight="15" x14ac:dyDescent="0.25"/>
  <cols>
    <col min="4" max="4" width="14.28515625" bestFit="1" customWidth="1"/>
  </cols>
  <sheetData>
    <row r="1" spans="1:12" x14ac:dyDescent="0.25">
      <c r="A1" s="22" t="s">
        <v>102</v>
      </c>
      <c r="B1" s="22" t="s">
        <v>103</v>
      </c>
      <c r="C1" s="22" t="s">
        <v>104</v>
      </c>
      <c r="D1" s="22" t="s">
        <v>105</v>
      </c>
      <c r="E1" s="22" t="s">
        <v>106</v>
      </c>
      <c r="F1" s="22" t="s">
        <v>107</v>
      </c>
      <c r="G1" s="22" t="s">
        <v>108</v>
      </c>
      <c r="H1" s="22" t="s">
        <v>109</v>
      </c>
      <c r="I1" s="22" t="s">
        <v>110</v>
      </c>
      <c r="J1" s="22" t="s">
        <v>111</v>
      </c>
      <c r="K1" s="22" t="s">
        <v>112</v>
      </c>
      <c r="L1" s="22" t="s">
        <v>113</v>
      </c>
    </row>
    <row r="2" spans="1:12" x14ac:dyDescent="0.25">
      <c r="A2" s="23" t="s">
        <v>54</v>
      </c>
      <c r="B2" s="23" t="s">
        <v>82</v>
      </c>
      <c r="C2" s="23" t="s">
        <v>83</v>
      </c>
      <c r="D2" s="24">
        <v>61696.523999999998</v>
      </c>
      <c r="E2" s="24">
        <v>61696.523999999998</v>
      </c>
      <c r="F2" s="25">
        <v>1</v>
      </c>
      <c r="G2" s="24">
        <v>61696.523999999998</v>
      </c>
      <c r="H2" s="25">
        <v>1</v>
      </c>
      <c r="I2" s="24">
        <v>61696.523999999998</v>
      </c>
      <c r="J2" s="25">
        <v>1</v>
      </c>
      <c r="K2" s="24">
        <v>0</v>
      </c>
      <c r="L2" s="25">
        <v>0</v>
      </c>
    </row>
    <row r="3" spans="1:12" x14ac:dyDescent="0.25">
      <c r="A3" s="23" t="s">
        <v>54</v>
      </c>
      <c r="B3" s="23" t="s">
        <v>84</v>
      </c>
      <c r="C3" s="23" t="s">
        <v>83</v>
      </c>
      <c r="D3" s="24">
        <v>61512.597399999991</v>
      </c>
      <c r="E3" s="24">
        <v>61512.597399999991</v>
      </c>
      <c r="F3" s="25">
        <v>1</v>
      </c>
      <c r="G3" s="24">
        <v>0</v>
      </c>
      <c r="H3" s="25">
        <v>0</v>
      </c>
      <c r="I3" s="24">
        <v>0</v>
      </c>
      <c r="J3" s="25">
        <v>0</v>
      </c>
      <c r="K3" s="24">
        <v>0</v>
      </c>
      <c r="L3" s="25">
        <v>0</v>
      </c>
    </row>
    <row r="4" spans="1:12" x14ac:dyDescent="0.25">
      <c r="A4" s="23" t="s">
        <v>54</v>
      </c>
      <c r="B4" s="23" t="s">
        <v>94</v>
      </c>
      <c r="C4" s="23" t="s">
        <v>101</v>
      </c>
      <c r="D4" s="24">
        <v>116529.74</v>
      </c>
      <c r="E4" s="24">
        <v>58264.87</v>
      </c>
      <c r="F4" s="25">
        <v>0.5</v>
      </c>
      <c r="G4" s="24">
        <v>34958.921999999999</v>
      </c>
      <c r="H4" s="25">
        <v>0.3</v>
      </c>
      <c r="I4" s="24">
        <v>23305.948000000004</v>
      </c>
      <c r="J4" s="25">
        <v>0.2</v>
      </c>
      <c r="K4" s="24">
        <v>0</v>
      </c>
      <c r="L4" s="25">
        <v>0</v>
      </c>
    </row>
    <row r="5" spans="1:12" x14ac:dyDescent="0.25">
      <c r="A5" s="23" t="s">
        <v>54</v>
      </c>
      <c r="B5" s="23" t="s">
        <v>78</v>
      </c>
      <c r="C5" s="23" t="s">
        <v>59</v>
      </c>
      <c r="D5" s="24">
        <v>3632.6453241000008</v>
      </c>
      <c r="E5" s="24">
        <v>3632.6453241000008</v>
      </c>
      <c r="F5" s="25">
        <v>1</v>
      </c>
      <c r="G5" s="24">
        <v>3632.6453241000008</v>
      </c>
      <c r="H5" s="25">
        <v>1</v>
      </c>
      <c r="I5" s="24">
        <v>3632.6453241000008</v>
      </c>
      <c r="J5" s="25">
        <v>1</v>
      </c>
      <c r="K5" s="24">
        <v>82.560121002272751</v>
      </c>
      <c r="L5" s="25">
        <v>2.2727272727272728E-2</v>
      </c>
    </row>
    <row r="6" spans="1:12" ht="30" x14ac:dyDescent="0.25">
      <c r="A6" s="23" t="s">
        <v>54</v>
      </c>
      <c r="B6" s="23" t="s">
        <v>79</v>
      </c>
      <c r="C6" s="23" t="s">
        <v>59</v>
      </c>
      <c r="D6" s="24">
        <v>66526.931673225015</v>
      </c>
      <c r="E6" s="24">
        <v>66526.931673225015</v>
      </c>
      <c r="F6" s="25">
        <v>1</v>
      </c>
      <c r="G6" s="24">
        <v>66526.931673225015</v>
      </c>
      <c r="H6" s="25">
        <v>1</v>
      </c>
      <c r="I6" s="24">
        <v>66526.931673225015</v>
      </c>
      <c r="J6" s="25">
        <v>1</v>
      </c>
      <c r="K6" s="24">
        <v>0</v>
      </c>
      <c r="L6" s="25">
        <v>0</v>
      </c>
    </row>
    <row r="7" spans="1:12" ht="30" x14ac:dyDescent="0.25">
      <c r="A7" s="23" t="s">
        <v>54</v>
      </c>
      <c r="B7" s="23" t="s">
        <v>80</v>
      </c>
      <c r="C7" s="23" t="s">
        <v>59</v>
      </c>
      <c r="D7" s="24">
        <v>27322.570000000014</v>
      </c>
      <c r="E7" s="24">
        <v>27322.570000000014</v>
      </c>
      <c r="F7" s="25">
        <v>1</v>
      </c>
      <c r="G7" s="24">
        <v>27322.570000000014</v>
      </c>
      <c r="H7" s="25">
        <v>1</v>
      </c>
      <c r="I7" s="24">
        <v>27322.570000000014</v>
      </c>
      <c r="J7" s="25">
        <v>1</v>
      </c>
      <c r="K7" s="24">
        <v>0</v>
      </c>
      <c r="L7" s="25">
        <v>0</v>
      </c>
    </row>
    <row r="8" spans="1:12" ht="30" x14ac:dyDescent="0.25">
      <c r="A8" s="23" t="s">
        <v>54</v>
      </c>
      <c r="B8" s="23" t="s">
        <v>89</v>
      </c>
      <c r="C8" s="23" t="s">
        <v>59</v>
      </c>
      <c r="D8" s="24">
        <v>8364.6999999999971</v>
      </c>
      <c r="E8" s="24">
        <v>2091.1749999999993</v>
      </c>
      <c r="F8" s="25">
        <v>0.25</v>
      </c>
      <c r="G8" s="24">
        <v>2091.1749999999993</v>
      </c>
      <c r="H8" s="25">
        <v>0.25</v>
      </c>
      <c r="I8" s="24">
        <v>0</v>
      </c>
      <c r="J8" s="25">
        <v>0</v>
      </c>
      <c r="K8" s="24">
        <v>0</v>
      </c>
      <c r="L8" s="25">
        <v>0</v>
      </c>
    </row>
    <row r="9" spans="1:12" ht="30" x14ac:dyDescent="0.25">
      <c r="A9" s="23" t="s">
        <v>54</v>
      </c>
      <c r="B9" s="23" t="s">
        <v>90</v>
      </c>
      <c r="C9" s="23" t="s">
        <v>59</v>
      </c>
      <c r="D9" s="24">
        <v>12606.7</v>
      </c>
      <c r="E9" s="24">
        <v>12606.7</v>
      </c>
      <c r="F9" s="25">
        <v>1</v>
      </c>
      <c r="G9" s="24">
        <v>12606.7</v>
      </c>
      <c r="H9" s="25">
        <v>1</v>
      </c>
      <c r="I9" s="24">
        <v>12606.7</v>
      </c>
      <c r="J9" s="25">
        <v>1</v>
      </c>
      <c r="K9" s="24">
        <v>0</v>
      </c>
      <c r="L9" s="25">
        <v>0</v>
      </c>
    </row>
    <row r="10" spans="1:12" ht="30" x14ac:dyDescent="0.25">
      <c r="A10" s="23" t="s">
        <v>54</v>
      </c>
      <c r="B10" s="23" t="s">
        <v>87</v>
      </c>
      <c r="C10" s="23" t="s">
        <v>59</v>
      </c>
      <c r="D10" s="24">
        <v>11704.1</v>
      </c>
      <c r="E10" s="24">
        <v>11704.1</v>
      </c>
      <c r="F10" s="25">
        <v>1</v>
      </c>
      <c r="G10" s="24">
        <v>11704.1</v>
      </c>
      <c r="H10" s="25">
        <v>1</v>
      </c>
      <c r="I10" s="24">
        <v>11704.1</v>
      </c>
      <c r="J10" s="25">
        <v>1</v>
      </c>
      <c r="K10" s="24">
        <v>216.72407407407408</v>
      </c>
      <c r="L10" s="25">
        <v>1.8516936293612844E-2</v>
      </c>
    </row>
    <row r="11" spans="1:12" ht="30" x14ac:dyDescent="0.25">
      <c r="A11" s="23" t="s">
        <v>54</v>
      </c>
      <c r="B11" s="23" t="s">
        <v>93</v>
      </c>
      <c r="C11" s="23" t="s">
        <v>59</v>
      </c>
      <c r="D11" s="24">
        <v>13648.2</v>
      </c>
      <c r="E11" s="24">
        <v>13648.2</v>
      </c>
      <c r="F11" s="25">
        <v>1</v>
      </c>
      <c r="G11" s="24">
        <v>13648.2</v>
      </c>
      <c r="H11" s="25">
        <v>1</v>
      </c>
      <c r="I11" s="24">
        <v>13648.2</v>
      </c>
      <c r="J11" s="25">
        <v>1</v>
      </c>
      <c r="K11" s="24">
        <v>0</v>
      </c>
      <c r="L11" s="25">
        <v>0</v>
      </c>
    </row>
    <row r="12" spans="1:12" ht="30" x14ac:dyDescent="0.25">
      <c r="A12" s="23" t="s">
        <v>54</v>
      </c>
      <c r="B12" s="23" t="s">
        <v>58</v>
      </c>
      <c r="C12" s="23" t="s">
        <v>59</v>
      </c>
      <c r="D12" s="24">
        <v>18015.7</v>
      </c>
      <c r="E12" s="24">
        <v>18015.7</v>
      </c>
      <c r="F12" s="25">
        <v>1</v>
      </c>
      <c r="G12" s="24">
        <v>18015.7</v>
      </c>
      <c r="H12" s="25">
        <v>1</v>
      </c>
      <c r="I12" s="24">
        <v>18015.7</v>
      </c>
      <c r="J12" s="25">
        <v>1</v>
      </c>
      <c r="K12" s="24">
        <v>4230.9227077085816</v>
      </c>
      <c r="L12" s="25">
        <v>0.23484642327017999</v>
      </c>
    </row>
    <row r="13" spans="1:12" ht="30" x14ac:dyDescent="0.25">
      <c r="A13" s="23" t="s">
        <v>54</v>
      </c>
      <c r="B13" s="23" t="s">
        <v>77</v>
      </c>
      <c r="C13" s="23" t="s">
        <v>59</v>
      </c>
      <c r="D13" s="24">
        <v>14499.95</v>
      </c>
      <c r="E13" s="24">
        <v>14499.95</v>
      </c>
      <c r="F13" s="25">
        <v>1</v>
      </c>
      <c r="G13" s="24">
        <v>14499.95</v>
      </c>
      <c r="H13" s="25">
        <v>1</v>
      </c>
      <c r="I13" s="24">
        <v>14499.95</v>
      </c>
      <c r="J13" s="25">
        <v>1</v>
      </c>
      <c r="K13" s="24">
        <v>4423.4099160559299</v>
      </c>
      <c r="L13" s="25">
        <v>0.3050638047755978</v>
      </c>
    </row>
    <row r="14" spans="1:12" x14ac:dyDescent="0.25">
      <c r="A14" s="23" t="s">
        <v>54</v>
      </c>
      <c r="B14" s="23" t="s">
        <v>62</v>
      </c>
      <c r="C14" s="23" t="s">
        <v>63</v>
      </c>
      <c r="D14" s="24">
        <v>103272.7</v>
      </c>
      <c r="E14" s="24">
        <v>54354.052631578939</v>
      </c>
      <c r="F14" s="25">
        <v>0.52631578947368418</v>
      </c>
      <c r="G14" s="24">
        <v>38047.836842105258</v>
      </c>
      <c r="H14" s="25">
        <v>0.36842105263157893</v>
      </c>
      <c r="I14" s="24">
        <v>0</v>
      </c>
      <c r="J14" s="25">
        <v>0</v>
      </c>
      <c r="K14" s="24">
        <v>0</v>
      </c>
      <c r="L14" s="25">
        <v>0</v>
      </c>
    </row>
    <row r="15" spans="1:12" x14ac:dyDescent="0.25">
      <c r="A15" s="23" t="s">
        <v>54</v>
      </c>
      <c r="B15" s="23" t="s">
        <v>64</v>
      </c>
      <c r="C15" s="23" t="s">
        <v>65</v>
      </c>
      <c r="D15" s="24">
        <v>21757.69</v>
      </c>
      <c r="E15" s="24">
        <v>0</v>
      </c>
      <c r="F15" s="25">
        <v>0</v>
      </c>
      <c r="G15" s="24">
        <v>0</v>
      </c>
      <c r="H15" s="25">
        <v>0</v>
      </c>
      <c r="I15" s="24">
        <v>0</v>
      </c>
      <c r="J15" s="25">
        <v>0</v>
      </c>
      <c r="K15" s="24">
        <v>2607.4421395327126</v>
      </c>
      <c r="L15" s="25">
        <v>0.11984002619454145</v>
      </c>
    </row>
    <row r="16" spans="1:12" x14ac:dyDescent="0.25">
      <c r="A16" s="23" t="s">
        <v>54</v>
      </c>
      <c r="B16" s="23" t="s">
        <v>64</v>
      </c>
      <c r="C16" s="23" t="s">
        <v>66</v>
      </c>
      <c r="D16" s="24">
        <v>21757.69</v>
      </c>
      <c r="E16" s="24">
        <v>14505.126666666665</v>
      </c>
      <c r="F16" s="25">
        <v>0.66666666666666663</v>
      </c>
      <c r="G16" s="24">
        <v>0</v>
      </c>
      <c r="H16" s="25">
        <v>0</v>
      </c>
      <c r="I16" s="24">
        <v>0</v>
      </c>
      <c r="J16" s="25">
        <v>0</v>
      </c>
      <c r="K16" s="24">
        <v>0</v>
      </c>
      <c r="L16" s="25">
        <v>0</v>
      </c>
    </row>
    <row r="17" spans="1:12" x14ac:dyDescent="0.25">
      <c r="A17" s="23" t="s">
        <v>54</v>
      </c>
      <c r="B17" s="23" t="s">
        <v>64</v>
      </c>
      <c r="C17" s="23" t="s">
        <v>63</v>
      </c>
      <c r="D17" s="24">
        <v>21757.69</v>
      </c>
      <c r="E17" s="24">
        <v>0</v>
      </c>
      <c r="F17" s="25">
        <v>0</v>
      </c>
      <c r="G17" s="24">
        <v>0</v>
      </c>
      <c r="H17" s="25">
        <v>0</v>
      </c>
      <c r="I17" s="24">
        <v>0</v>
      </c>
      <c r="J17" s="25">
        <v>0</v>
      </c>
      <c r="K17" s="24">
        <v>0</v>
      </c>
      <c r="L17" s="25">
        <v>0</v>
      </c>
    </row>
    <row r="18" spans="1:12" x14ac:dyDescent="0.25">
      <c r="A18" s="23" t="s">
        <v>54</v>
      </c>
      <c r="B18" s="23" t="s">
        <v>64</v>
      </c>
      <c r="C18" s="23" t="s">
        <v>67</v>
      </c>
      <c r="D18" s="24">
        <v>21757.69</v>
      </c>
      <c r="E18" s="24">
        <v>0</v>
      </c>
      <c r="F18" s="25">
        <v>0</v>
      </c>
      <c r="G18" s="24">
        <v>0</v>
      </c>
      <c r="H18" s="25">
        <v>0</v>
      </c>
      <c r="I18" s="24">
        <v>0</v>
      </c>
      <c r="J18" s="25">
        <v>0</v>
      </c>
      <c r="K18" s="24">
        <v>0</v>
      </c>
      <c r="L18" s="25">
        <v>0</v>
      </c>
    </row>
    <row r="19" spans="1:12" x14ac:dyDescent="0.25">
      <c r="A19" s="23" t="s">
        <v>54</v>
      </c>
      <c r="B19" s="23" t="s">
        <v>71</v>
      </c>
      <c r="C19" s="23" t="s">
        <v>63</v>
      </c>
      <c r="D19" s="24">
        <v>82046.400000000009</v>
      </c>
      <c r="E19" s="24">
        <v>0</v>
      </c>
      <c r="F19" s="25">
        <v>0</v>
      </c>
      <c r="G19" s="24">
        <v>0</v>
      </c>
      <c r="H19" s="25">
        <v>0</v>
      </c>
      <c r="I19" s="24">
        <v>0</v>
      </c>
      <c r="J19" s="25">
        <v>0</v>
      </c>
      <c r="K19" s="24">
        <v>0</v>
      </c>
      <c r="L19" s="25">
        <v>0</v>
      </c>
    </row>
    <row r="20" spans="1:12" x14ac:dyDescent="0.25">
      <c r="A20" s="23" t="s">
        <v>54</v>
      </c>
      <c r="B20" s="23" t="s">
        <v>75</v>
      </c>
      <c r="C20" s="23" t="s">
        <v>76</v>
      </c>
      <c r="D20" s="24">
        <v>96422.23</v>
      </c>
      <c r="E20" s="24">
        <v>96422.23</v>
      </c>
      <c r="F20" s="25">
        <v>1</v>
      </c>
      <c r="G20" s="24">
        <v>96422.23</v>
      </c>
      <c r="H20" s="25">
        <v>1</v>
      </c>
      <c r="I20" s="24">
        <v>96422.23</v>
      </c>
      <c r="J20" s="25">
        <v>1</v>
      </c>
      <c r="K20" s="24">
        <v>0</v>
      </c>
      <c r="L20" s="25">
        <v>0</v>
      </c>
    </row>
    <row r="21" spans="1:12" x14ac:dyDescent="0.25">
      <c r="A21" s="23" t="s">
        <v>54</v>
      </c>
      <c r="B21" s="23" t="s">
        <v>81</v>
      </c>
      <c r="C21" s="23" t="s">
        <v>30</v>
      </c>
      <c r="D21" s="24">
        <v>89010.219999999987</v>
      </c>
      <c r="E21" s="24">
        <v>89010.219999999987</v>
      </c>
      <c r="F21" s="25">
        <v>1</v>
      </c>
      <c r="G21" s="24">
        <v>89010.219999999987</v>
      </c>
      <c r="H21" s="25">
        <v>1</v>
      </c>
      <c r="I21" s="24">
        <v>89010.219999999987</v>
      </c>
      <c r="J21" s="25">
        <v>1</v>
      </c>
      <c r="K21" s="24">
        <v>0</v>
      </c>
      <c r="L21" s="25">
        <v>0</v>
      </c>
    </row>
    <row r="22" spans="1:12" x14ac:dyDescent="0.25">
      <c r="A22" s="23" t="s">
        <v>54</v>
      </c>
      <c r="B22" s="23" t="s">
        <v>85</v>
      </c>
      <c r="C22" s="23" t="s">
        <v>30</v>
      </c>
      <c r="D22" s="24">
        <v>88239.10000000002</v>
      </c>
      <c r="E22" s="24">
        <v>88239.10000000002</v>
      </c>
      <c r="F22" s="25">
        <v>1</v>
      </c>
      <c r="G22" s="24">
        <v>88239.10000000002</v>
      </c>
      <c r="H22" s="25">
        <v>1</v>
      </c>
      <c r="I22" s="24">
        <v>0</v>
      </c>
      <c r="J22" s="25">
        <v>0</v>
      </c>
      <c r="K22" s="24">
        <v>0</v>
      </c>
      <c r="L22" s="25">
        <v>0</v>
      </c>
    </row>
    <row r="23" spans="1:12" x14ac:dyDescent="0.25">
      <c r="A23" s="23" t="s">
        <v>54</v>
      </c>
      <c r="B23" s="23" t="s">
        <v>86</v>
      </c>
      <c r="C23" s="23" t="s">
        <v>30</v>
      </c>
      <c r="D23" s="24">
        <v>61132.493900000001</v>
      </c>
      <c r="E23" s="24">
        <v>61132.493900000001</v>
      </c>
      <c r="F23" s="25">
        <v>1</v>
      </c>
      <c r="G23" s="24">
        <v>0</v>
      </c>
      <c r="H23" s="25">
        <v>0</v>
      </c>
      <c r="I23" s="24">
        <v>0</v>
      </c>
      <c r="J23" s="25">
        <v>0</v>
      </c>
      <c r="K23" s="24">
        <v>0</v>
      </c>
      <c r="L23" s="25">
        <v>0</v>
      </c>
    </row>
    <row r="24" spans="1:12" x14ac:dyDescent="0.25">
      <c r="A24" s="23" t="s">
        <v>54</v>
      </c>
      <c r="B24" s="23" t="s">
        <v>88</v>
      </c>
      <c r="C24" s="23" t="s">
        <v>63</v>
      </c>
      <c r="D24" s="24">
        <v>62868.84</v>
      </c>
      <c r="E24" s="24">
        <v>20432.373</v>
      </c>
      <c r="F24" s="25">
        <v>0.32500000000000001</v>
      </c>
      <c r="G24" s="24">
        <v>18860.651999999998</v>
      </c>
      <c r="H24" s="25">
        <v>0.3</v>
      </c>
      <c r="I24" s="24">
        <v>14145.489</v>
      </c>
      <c r="J24" s="25">
        <v>0.22500000000000001</v>
      </c>
      <c r="K24" s="24">
        <v>0</v>
      </c>
      <c r="L24" s="25">
        <v>0</v>
      </c>
    </row>
    <row r="25" spans="1:12" x14ac:dyDescent="0.25">
      <c r="A25" s="23" t="s">
        <v>54</v>
      </c>
      <c r="B25" s="23" t="s">
        <v>91</v>
      </c>
      <c r="C25" s="23" t="s">
        <v>63</v>
      </c>
      <c r="D25" s="24">
        <v>76828.36</v>
      </c>
      <c r="E25" s="24">
        <v>0</v>
      </c>
      <c r="F25" s="25">
        <v>0</v>
      </c>
      <c r="G25" s="24">
        <v>0</v>
      </c>
      <c r="H25" s="25">
        <v>0</v>
      </c>
      <c r="I25" s="24">
        <v>0</v>
      </c>
      <c r="J25" s="25">
        <v>0</v>
      </c>
      <c r="K25" s="24">
        <v>0</v>
      </c>
      <c r="L25" s="25">
        <v>0</v>
      </c>
    </row>
    <row r="26" spans="1:12" x14ac:dyDescent="0.25">
      <c r="A26" s="23" t="s">
        <v>27</v>
      </c>
      <c r="B26" s="23" t="s">
        <v>28</v>
      </c>
      <c r="C26" s="23" t="s">
        <v>30</v>
      </c>
      <c r="D26" s="24">
        <v>166217.75</v>
      </c>
      <c r="E26" s="24">
        <v>166217.75</v>
      </c>
      <c r="F26" s="25">
        <v>1</v>
      </c>
      <c r="G26" s="24">
        <v>166217.75</v>
      </c>
      <c r="H26" s="25">
        <v>1</v>
      </c>
      <c r="I26" s="24">
        <v>166217.75</v>
      </c>
      <c r="J26" s="25">
        <v>1</v>
      </c>
      <c r="K26" s="24">
        <v>0</v>
      </c>
      <c r="L26" s="25">
        <v>0</v>
      </c>
    </row>
    <row r="27" spans="1:12" ht="45" x14ac:dyDescent="0.25">
      <c r="A27" s="23" t="s">
        <v>27</v>
      </c>
      <c r="B27" s="23" t="s">
        <v>96</v>
      </c>
      <c r="C27" s="23" t="s">
        <v>32</v>
      </c>
      <c r="D27" s="24">
        <v>10000</v>
      </c>
      <c r="E27" s="24">
        <v>10000</v>
      </c>
      <c r="F27" s="25">
        <v>1</v>
      </c>
      <c r="G27" s="24">
        <v>10000</v>
      </c>
      <c r="H27" s="25">
        <v>1</v>
      </c>
      <c r="I27" s="24">
        <v>10000</v>
      </c>
      <c r="J27" s="25">
        <v>1</v>
      </c>
      <c r="K27" s="26"/>
      <c r="L27" s="26"/>
    </row>
    <row r="28" spans="1:12" x14ac:dyDescent="0.25">
      <c r="A28" s="23" t="s">
        <v>27</v>
      </c>
      <c r="B28" s="23" t="s">
        <v>31</v>
      </c>
      <c r="C28" s="23" t="s">
        <v>33</v>
      </c>
      <c r="D28" s="24">
        <v>105525.13032</v>
      </c>
      <c r="E28" s="24">
        <v>105525.13032</v>
      </c>
      <c r="F28" s="25">
        <v>1</v>
      </c>
      <c r="G28" s="24">
        <v>105525.13032</v>
      </c>
      <c r="H28" s="25">
        <v>1</v>
      </c>
      <c r="I28" s="24">
        <v>105525.13032</v>
      </c>
      <c r="J28" s="25">
        <v>1</v>
      </c>
      <c r="K28" s="24">
        <v>0</v>
      </c>
      <c r="L28" s="25">
        <v>0</v>
      </c>
    </row>
    <row r="29" spans="1:12" ht="45" x14ac:dyDescent="0.25">
      <c r="A29" s="23" t="s">
        <v>27</v>
      </c>
      <c r="B29" s="23" t="s">
        <v>97</v>
      </c>
      <c r="C29" s="23" t="s">
        <v>35</v>
      </c>
      <c r="D29" s="24">
        <v>8130</v>
      </c>
      <c r="E29" s="24">
        <v>8130</v>
      </c>
      <c r="F29" s="25">
        <v>1</v>
      </c>
      <c r="G29" s="24">
        <v>8130</v>
      </c>
      <c r="H29" s="25">
        <v>1</v>
      </c>
      <c r="I29" s="24">
        <v>8130</v>
      </c>
      <c r="J29" s="25">
        <v>1</v>
      </c>
      <c r="K29" s="26"/>
      <c r="L29" s="26"/>
    </row>
    <row r="30" spans="1:12" x14ac:dyDescent="0.25">
      <c r="A30" s="23" t="s">
        <v>27</v>
      </c>
      <c r="B30" s="23" t="s">
        <v>34</v>
      </c>
      <c r="C30" s="23" t="s">
        <v>36</v>
      </c>
      <c r="D30" s="24">
        <v>23734.43</v>
      </c>
      <c r="E30" s="24">
        <v>23734.43</v>
      </c>
      <c r="F30" s="25">
        <v>1</v>
      </c>
      <c r="G30" s="24">
        <v>23734.43</v>
      </c>
      <c r="H30" s="25">
        <v>1</v>
      </c>
      <c r="I30" s="24">
        <v>23734.43</v>
      </c>
      <c r="J30" s="25">
        <v>1</v>
      </c>
      <c r="K30" s="24">
        <v>23734.43</v>
      </c>
      <c r="L30" s="25">
        <v>1</v>
      </c>
    </row>
    <row r="31" spans="1:12" x14ac:dyDescent="0.25">
      <c r="A31" s="23" t="s">
        <v>27</v>
      </c>
      <c r="B31" s="23" t="s">
        <v>95</v>
      </c>
      <c r="C31" s="23" t="s">
        <v>29</v>
      </c>
      <c r="D31" s="24">
        <v>38873.682999999997</v>
      </c>
      <c r="E31" s="24">
        <v>38873.682999999997</v>
      </c>
      <c r="F31" s="25">
        <v>1</v>
      </c>
      <c r="G31" s="24">
        <v>38873.682999999997</v>
      </c>
      <c r="H31" s="25">
        <v>1</v>
      </c>
      <c r="I31" s="24">
        <v>38873.682999999997</v>
      </c>
      <c r="J31" s="25">
        <v>1</v>
      </c>
      <c r="K31" s="26"/>
      <c r="L31" s="26"/>
    </row>
    <row r="32" spans="1:12" x14ac:dyDescent="0.25">
      <c r="A32" s="23" t="s">
        <v>37</v>
      </c>
      <c r="B32" s="23" t="s">
        <v>38</v>
      </c>
      <c r="C32" s="23" t="s">
        <v>30</v>
      </c>
      <c r="D32" s="24">
        <v>176865.63999999998</v>
      </c>
      <c r="E32" s="24">
        <v>176865.63999999998</v>
      </c>
      <c r="F32" s="25">
        <v>1</v>
      </c>
      <c r="G32" s="24">
        <v>176865.63999999998</v>
      </c>
      <c r="H32" s="25">
        <v>1</v>
      </c>
      <c r="I32" s="24">
        <v>176865.63999999998</v>
      </c>
      <c r="J32" s="25">
        <v>1</v>
      </c>
      <c r="K32" s="24">
        <v>0</v>
      </c>
      <c r="L32" s="25">
        <v>0</v>
      </c>
    </row>
    <row r="33" spans="1:12" ht="45" x14ac:dyDescent="0.25">
      <c r="A33" s="23" t="s">
        <v>37</v>
      </c>
      <c r="B33" s="23" t="s">
        <v>98</v>
      </c>
      <c r="C33" s="23" t="s">
        <v>40</v>
      </c>
      <c r="D33" s="24">
        <v>28853.47</v>
      </c>
      <c r="E33" s="24">
        <v>28853.47</v>
      </c>
      <c r="F33" s="25">
        <v>1</v>
      </c>
      <c r="G33" s="24">
        <v>28853.47</v>
      </c>
      <c r="H33" s="25">
        <v>1</v>
      </c>
      <c r="I33" s="24">
        <v>28853.47</v>
      </c>
      <c r="J33" s="25">
        <v>1</v>
      </c>
      <c r="K33" s="26"/>
      <c r="L33" s="26"/>
    </row>
    <row r="34" spans="1:12" x14ac:dyDescent="0.25">
      <c r="A34" s="23" t="s">
        <v>37</v>
      </c>
      <c r="B34" s="23" t="s">
        <v>39</v>
      </c>
      <c r="C34" s="23" t="s">
        <v>41</v>
      </c>
      <c r="D34" s="24">
        <v>48011.730000000018</v>
      </c>
      <c r="E34" s="24">
        <v>48011.730000000018</v>
      </c>
      <c r="F34" s="25">
        <v>1</v>
      </c>
      <c r="G34" s="24">
        <v>48011.730000000018</v>
      </c>
      <c r="H34" s="25">
        <v>1</v>
      </c>
      <c r="I34" s="24">
        <v>48011.730000000018</v>
      </c>
      <c r="J34" s="25">
        <v>1</v>
      </c>
      <c r="K34" s="24">
        <v>0</v>
      </c>
      <c r="L34" s="25">
        <v>0</v>
      </c>
    </row>
    <row r="35" spans="1:12" x14ac:dyDescent="0.25">
      <c r="A35" s="23" t="s">
        <v>48</v>
      </c>
      <c r="B35" s="23" t="s">
        <v>50</v>
      </c>
      <c r="C35" s="23" t="s">
        <v>30</v>
      </c>
      <c r="D35" s="24">
        <v>161909.82999999999</v>
      </c>
      <c r="E35" s="24">
        <v>161909.82999999999</v>
      </c>
      <c r="F35" s="25">
        <v>1</v>
      </c>
      <c r="G35" s="24">
        <v>161909.82999999999</v>
      </c>
      <c r="H35" s="25">
        <v>1</v>
      </c>
      <c r="I35" s="24">
        <v>161909.82999999999</v>
      </c>
      <c r="J35" s="25">
        <v>1</v>
      </c>
      <c r="K35" s="24">
        <v>0</v>
      </c>
      <c r="L35" s="25">
        <v>0</v>
      </c>
    </row>
    <row r="36" spans="1:12" ht="45" x14ac:dyDescent="0.25">
      <c r="A36" s="23" t="s">
        <v>48</v>
      </c>
      <c r="B36" s="23" t="s">
        <v>99</v>
      </c>
      <c r="C36" s="23" t="s">
        <v>40</v>
      </c>
      <c r="D36" s="24">
        <v>36020.75</v>
      </c>
      <c r="E36" s="24">
        <v>36020.75</v>
      </c>
      <c r="F36" s="25">
        <v>1</v>
      </c>
      <c r="G36" s="24">
        <v>36020.75</v>
      </c>
      <c r="H36" s="25">
        <v>1</v>
      </c>
      <c r="I36" s="24">
        <v>36020.75</v>
      </c>
      <c r="J36" s="25">
        <v>1</v>
      </c>
      <c r="K36" s="26"/>
      <c r="L36" s="26"/>
    </row>
    <row r="37" spans="1:12" x14ac:dyDescent="0.25">
      <c r="A37" s="23" t="s">
        <v>48</v>
      </c>
      <c r="B37" s="23" t="s">
        <v>49</v>
      </c>
      <c r="C37" s="23" t="s">
        <v>41</v>
      </c>
      <c r="D37" s="24">
        <v>161909.82999999999</v>
      </c>
      <c r="E37" s="24">
        <v>161909.82999999999</v>
      </c>
      <c r="F37" s="25">
        <v>1</v>
      </c>
      <c r="G37" s="24">
        <v>161909.82999999999</v>
      </c>
      <c r="H37" s="25">
        <v>1</v>
      </c>
      <c r="I37" s="24">
        <v>161909.82999999999</v>
      </c>
      <c r="J37" s="25">
        <v>1</v>
      </c>
      <c r="K37" s="24">
        <v>0</v>
      </c>
      <c r="L37" s="25">
        <v>0</v>
      </c>
    </row>
    <row r="38" spans="1:12" x14ac:dyDescent="0.25">
      <c r="A38" s="23" t="s">
        <v>48</v>
      </c>
      <c r="B38" s="23" t="s">
        <v>53</v>
      </c>
      <c r="C38" s="23" t="s">
        <v>30</v>
      </c>
      <c r="D38" s="24">
        <v>38583.480000000003</v>
      </c>
      <c r="E38" s="24">
        <v>38583.480000000003</v>
      </c>
      <c r="F38" s="25">
        <v>1</v>
      </c>
      <c r="G38" s="24">
        <v>38583.480000000003</v>
      </c>
      <c r="H38" s="25">
        <v>1</v>
      </c>
      <c r="I38" s="24">
        <v>38583.480000000003</v>
      </c>
      <c r="J38" s="25">
        <v>1</v>
      </c>
      <c r="K38" s="24">
        <v>350.74984454545466</v>
      </c>
      <c r="L38" s="25">
        <v>9.0906741575787001E-3</v>
      </c>
    </row>
    <row r="39" spans="1:12" x14ac:dyDescent="0.25">
      <c r="A39" s="23" t="s">
        <v>42</v>
      </c>
      <c r="B39" s="23" t="s">
        <v>43</v>
      </c>
      <c r="C39" s="23" t="s">
        <v>30</v>
      </c>
      <c r="D39" s="24">
        <v>117331.46</v>
      </c>
      <c r="E39" s="24">
        <v>117331.46</v>
      </c>
      <c r="F39" s="25">
        <v>1</v>
      </c>
      <c r="G39" s="24">
        <v>117331.46</v>
      </c>
      <c r="H39" s="25">
        <v>1</v>
      </c>
      <c r="I39" s="24">
        <v>117331.46</v>
      </c>
      <c r="J39" s="25">
        <v>1</v>
      </c>
      <c r="K39" s="24">
        <v>117331.46</v>
      </c>
      <c r="L39" s="25">
        <v>1</v>
      </c>
    </row>
    <row r="40" spans="1:12" ht="45" x14ac:dyDescent="0.25">
      <c r="A40" s="23" t="s">
        <v>42</v>
      </c>
      <c r="B40" s="23" t="s">
        <v>100</v>
      </c>
      <c r="C40" s="23" t="s">
        <v>40</v>
      </c>
      <c r="D40" s="24">
        <v>32085.040000000001</v>
      </c>
      <c r="E40" s="24">
        <v>32085.040000000001</v>
      </c>
      <c r="F40" s="25">
        <v>1</v>
      </c>
      <c r="G40" s="24">
        <v>32085.040000000001</v>
      </c>
      <c r="H40" s="25">
        <v>1</v>
      </c>
      <c r="I40" s="24">
        <v>32085.040000000001</v>
      </c>
      <c r="J40" s="25">
        <v>1</v>
      </c>
      <c r="K40" s="26"/>
      <c r="L40" s="26"/>
    </row>
    <row r="41" spans="1:12" x14ac:dyDescent="0.25">
      <c r="A41" s="23" t="s">
        <v>42</v>
      </c>
      <c r="B41" s="23" t="s">
        <v>44</v>
      </c>
      <c r="C41" s="23" t="s">
        <v>41</v>
      </c>
      <c r="D41" s="24">
        <v>52880.41</v>
      </c>
      <c r="E41" s="24">
        <v>52880.41</v>
      </c>
      <c r="F41" s="25">
        <v>1</v>
      </c>
      <c r="G41" s="24">
        <v>52880.41</v>
      </c>
      <c r="H41" s="25">
        <v>1</v>
      </c>
      <c r="I41" s="24">
        <v>52880.41</v>
      </c>
      <c r="J41" s="25">
        <v>1</v>
      </c>
      <c r="K41" s="24">
        <v>0</v>
      </c>
      <c r="L41" s="25">
        <v>0</v>
      </c>
    </row>
    <row r="42" spans="1:12" x14ac:dyDescent="0.25">
      <c r="A42" s="23" t="s">
        <v>42</v>
      </c>
      <c r="B42" s="23" t="s">
        <v>45</v>
      </c>
      <c r="C42" s="23" t="s">
        <v>46</v>
      </c>
      <c r="D42" s="24">
        <v>45121.440000000002</v>
      </c>
      <c r="E42" s="24">
        <v>45121.440000000002</v>
      </c>
      <c r="F42" s="25">
        <v>1</v>
      </c>
      <c r="G42" s="24">
        <v>45121.440000000002</v>
      </c>
      <c r="H42" s="25">
        <v>1</v>
      </c>
      <c r="I42" s="24">
        <v>45121.440000000002</v>
      </c>
      <c r="J42" s="25">
        <v>1</v>
      </c>
      <c r="K42" s="24">
        <v>45121.45</v>
      </c>
      <c r="L42" s="25">
        <v>1.0000002216241324</v>
      </c>
    </row>
    <row r="43" spans="1:12" x14ac:dyDescent="0.25">
      <c r="A43" s="23" t="s">
        <v>42</v>
      </c>
      <c r="B43" s="23" t="s">
        <v>92</v>
      </c>
      <c r="C43" s="23" t="s">
        <v>30</v>
      </c>
      <c r="D43" s="24">
        <v>23254.95</v>
      </c>
      <c r="E43" s="24">
        <v>23254.95</v>
      </c>
      <c r="F43" s="25">
        <v>1</v>
      </c>
      <c r="G43" s="24">
        <v>23254.95</v>
      </c>
      <c r="H43" s="25">
        <v>1</v>
      </c>
      <c r="I43" s="24">
        <v>23254.95</v>
      </c>
      <c r="J43" s="25">
        <v>1</v>
      </c>
      <c r="K43" s="24">
        <v>0</v>
      </c>
      <c r="L43" s="25">
        <v>0</v>
      </c>
    </row>
    <row r="44" spans="1:12" x14ac:dyDescent="0.25">
      <c r="A44" s="23" t="s">
        <v>47</v>
      </c>
      <c r="B44" s="23" t="s">
        <v>47</v>
      </c>
      <c r="C44" s="23" t="s">
        <v>30</v>
      </c>
      <c r="D44" s="24">
        <v>231366.76</v>
      </c>
      <c r="E44" s="24">
        <v>231366.76</v>
      </c>
      <c r="F44" s="25">
        <v>1</v>
      </c>
      <c r="G44" s="24">
        <v>231366.76</v>
      </c>
      <c r="H44" s="25">
        <v>1</v>
      </c>
      <c r="I44" s="24">
        <v>231366.76</v>
      </c>
      <c r="J44" s="25">
        <v>1</v>
      </c>
      <c r="K44" s="24">
        <v>197529.26080194977</v>
      </c>
      <c r="L44" s="25">
        <v>0.85374952219562461</v>
      </c>
    </row>
    <row r="45" spans="1:12" x14ac:dyDescent="0.25">
      <c r="A45" s="23" t="s">
        <v>51</v>
      </c>
      <c r="B45" s="23" t="s">
        <v>73</v>
      </c>
      <c r="C45" s="23" t="s">
        <v>30</v>
      </c>
      <c r="D45" s="24">
        <v>37063.279999999999</v>
      </c>
      <c r="E45" s="24">
        <v>37063.279999999999</v>
      </c>
      <c r="F45" s="25">
        <v>1</v>
      </c>
      <c r="G45" s="24">
        <v>37063.279999999999</v>
      </c>
      <c r="H45" s="25">
        <v>1</v>
      </c>
      <c r="I45" s="24">
        <v>31133.155199999997</v>
      </c>
      <c r="J45" s="25">
        <v>0.84</v>
      </c>
      <c r="K45" s="24">
        <v>0</v>
      </c>
      <c r="L45" s="25">
        <v>0</v>
      </c>
    </row>
    <row r="46" spans="1:12" x14ac:dyDescent="0.25">
      <c r="A46" s="23" t="s">
        <v>51</v>
      </c>
      <c r="B46" s="23" t="s">
        <v>73</v>
      </c>
      <c r="C46" s="23" t="s">
        <v>46</v>
      </c>
      <c r="D46" s="24">
        <v>37063.279999999999</v>
      </c>
      <c r="E46" s="24">
        <v>30617.492173913044</v>
      </c>
      <c r="F46" s="25">
        <v>0.82608695652173914</v>
      </c>
      <c r="G46" s="24">
        <v>30617.492173913044</v>
      </c>
      <c r="H46" s="25">
        <v>0.82608695652173914</v>
      </c>
      <c r="I46" s="24">
        <v>17725.916521739131</v>
      </c>
      <c r="J46" s="25">
        <v>0.47826086956521741</v>
      </c>
      <c r="K46" s="24">
        <v>0</v>
      </c>
      <c r="L46" s="25">
        <v>0</v>
      </c>
    </row>
    <row r="47" spans="1:12" x14ac:dyDescent="0.25">
      <c r="A47" s="23" t="s">
        <v>51</v>
      </c>
      <c r="B47" s="23" t="s">
        <v>73</v>
      </c>
      <c r="C47" s="23" t="s">
        <v>74</v>
      </c>
      <c r="D47" s="24">
        <v>37063.279999999999</v>
      </c>
      <c r="E47" s="24">
        <v>37063.279999999999</v>
      </c>
      <c r="F47" s="25">
        <v>1</v>
      </c>
      <c r="G47" s="24">
        <v>37063.279999999999</v>
      </c>
      <c r="H47" s="25">
        <v>1</v>
      </c>
      <c r="I47" s="24">
        <v>0</v>
      </c>
      <c r="J47" s="25">
        <v>0</v>
      </c>
      <c r="K47" s="24">
        <v>0</v>
      </c>
      <c r="L47" s="25">
        <v>0</v>
      </c>
    </row>
    <row r="48" spans="1:12" x14ac:dyDescent="0.25">
      <c r="A48" s="23" t="s">
        <v>51</v>
      </c>
      <c r="B48" s="23" t="s">
        <v>72</v>
      </c>
      <c r="C48" s="23" t="s">
        <v>46</v>
      </c>
      <c r="D48" s="24">
        <v>112594.34</v>
      </c>
      <c r="E48" s="24">
        <v>112594.34</v>
      </c>
      <c r="F48" s="25">
        <v>1</v>
      </c>
      <c r="G48" s="24">
        <v>112594.34</v>
      </c>
      <c r="H48" s="25">
        <v>1</v>
      </c>
      <c r="I48" s="24">
        <v>112594.34</v>
      </c>
      <c r="J48" s="25">
        <v>1</v>
      </c>
      <c r="K48" s="24">
        <v>0</v>
      </c>
      <c r="L48" s="25">
        <v>0</v>
      </c>
    </row>
    <row r="49" spans="1:12" x14ac:dyDescent="0.25">
      <c r="A49" s="23" t="s">
        <v>51</v>
      </c>
      <c r="B49" s="23" t="s">
        <v>69</v>
      </c>
      <c r="C49" s="23" t="s">
        <v>70</v>
      </c>
      <c r="D49" s="24">
        <v>103605.23999999983</v>
      </c>
      <c r="E49" s="24">
        <v>103605.23999999983</v>
      </c>
      <c r="F49" s="25">
        <v>1</v>
      </c>
      <c r="G49" s="24">
        <v>103605.23999999983</v>
      </c>
      <c r="H49" s="25">
        <v>1</v>
      </c>
      <c r="I49" s="24">
        <v>103605.23999999983</v>
      </c>
      <c r="J49" s="25">
        <v>1</v>
      </c>
      <c r="K49" s="24">
        <v>0</v>
      </c>
      <c r="L49" s="25">
        <v>0</v>
      </c>
    </row>
    <row r="50" spans="1:12" x14ac:dyDescent="0.25">
      <c r="A50" s="23" t="s">
        <v>51</v>
      </c>
      <c r="B50" s="23" t="s">
        <v>68</v>
      </c>
      <c r="C50" s="23" t="s">
        <v>30</v>
      </c>
      <c r="D50" s="24">
        <v>91700.06</v>
      </c>
      <c r="E50" s="24">
        <v>91700.06</v>
      </c>
      <c r="F50" s="25">
        <v>1</v>
      </c>
      <c r="G50" s="24">
        <v>91700.06</v>
      </c>
      <c r="H50" s="25">
        <v>1</v>
      </c>
      <c r="I50" s="24">
        <v>91700.06</v>
      </c>
      <c r="J50" s="25">
        <v>1</v>
      </c>
      <c r="K50" s="24">
        <v>9324.4140034894335</v>
      </c>
      <c r="L50" s="25">
        <v>0.10168383754044909</v>
      </c>
    </row>
    <row r="51" spans="1:12" x14ac:dyDescent="0.25">
      <c r="A51" s="23" t="s">
        <v>51</v>
      </c>
      <c r="B51" s="23" t="s">
        <v>68</v>
      </c>
      <c r="C51" s="23" t="s">
        <v>61</v>
      </c>
      <c r="D51" s="24">
        <v>3911.9090000000001</v>
      </c>
      <c r="E51" s="24">
        <v>3911.9090000000001</v>
      </c>
      <c r="F51" s="25">
        <v>1</v>
      </c>
      <c r="G51" s="24">
        <v>3911.9090000000001</v>
      </c>
      <c r="H51" s="25">
        <v>1</v>
      </c>
      <c r="I51" s="24">
        <v>3911.9090000000001</v>
      </c>
      <c r="J51" s="25">
        <v>1</v>
      </c>
      <c r="K51" s="24">
        <v>348.38469903147336</v>
      </c>
      <c r="L51" s="25">
        <v>8.9057465046214868E-2</v>
      </c>
    </row>
    <row r="52" spans="1:12" x14ac:dyDescent="0.25">
      <c r="A52" s="23" t="s">
        <v>51</v>
      </c>
      <c r="B52" s="23" t="s">
        <v>68</v>
      </c>
      <c r="C52" s="23" t="s">
        <v>46</v>
      </c>
      <c r="D52" s="24">
        <v>313.09100000000001</v>
      </c>
      <c r="E52" s="24">
        <v>313.09100000000001</v>
      </c>
      <c r="F52" s="25">
        <v>1</v>
      </c>
      <c r="G52" s="24">
        <v>313.09100000000001</v>
      </c>
      <c r="H52" s="25">
        <v>1</v>
      </c>
      <c r="I52" s="24">
        <v>313.09100000000001</v>
      </c>
      <c r="J52" s="25">
        <v>1</v>
      </c>
      <c r="K52" s="24">
        <v>313.09082429299076</v>
      </c>
      <c r="L52" s="25">
        <v>0.99999943879891395</v>
      </c>
    </row>
    <row r="53" spans="1:12" x14ac:dyDescent="0.25">
      <c r="A53" s="23" t="s">
        <v>51</v>
      </c>
      <c r="B53" s="23" t="s">
        <v>60</v>
      </c>
      <c r="C53" s="23" t="s">
        <v>30</v>
      </c>
      <c r="D53" s="24">
        <v>90800.14</v>
      </c>
      <c r="E53" s="24">
        <v>90800.14</v>
      </c>
      <c r="F53" s="25">
        <v>1</v>
      </c>
      <c r="G53" s="24">
        <v>90800.14</v>
      </c>
      <c r="H53" s="25">
        <v>1</v>
      </c>
      <c r="I53" s="24">
        <v>90800.14</v>
      </c>
      <c r="J53" s="25">
        <v>1</v>
      </c>
      <c r="K53" s="24">
        <v>10153.047824795449</v>
      </c>
      <c r="L53" s="25">
        <v>0.11181753491564494</v>
      </c>
    </row>
    <row r="54" spans="1:12" x14ac:dyDescent="0.25">
      <c r="A54" s="23" t="s">
        <v>51</v>
      </c>
      <c r="B54" s="23" t="s">
        <v>60</v>
      </c>
      <c r="C54" s="23" t="s">
        <v>61</v>
      </c>
      <c r="D54" s="24">
        <v>3099.45</v>
      </c>
      <c r="E54" s="24">
        <v>3099.45</v>
      </c>
      <c r="F54" s="25">
        <v>1</v>
      </c>
      <c r="G54" s="24">
        <v>3099.45</v>
      </c>
      <c r="H54" s="25">
        <v>1</v>
      </c>
      <c r="I54" s="24">
        <v>3099.45</v>
      </c>
      <c r="J54" s="25">
        <v>1</v>
      </c>
      <c r="K54" s="24">
        <v>316.12053666945536</v>
      </c>
      <c r="L54" s="25">
        <v>0.10199246210439122</v>
      </c>
    </row>
    <row r="55" spans="1:12" x14ac:dyDescent="0.25">
      <c r="A55" s="23" t="s">
        <v>51</v>
      </c>
      <c r="B55" s="23" t="s">
        <v>60</v>
      </c>
      <c r="C55" s="23" t="s">
        <v>46</v>
      </c>
      <c r="D55" s="24">
        <v>1909.55</v>
      </c>
      <c r="E55" s="24">
        <v>1909.55</v>
      </c>
      <c r="F55" s="25">
        <v>1</v>
      </c>
      <c r="G55" s="24">
        <v>1909.55</v>
      </c>
      <c r="H55" s="25">
        <v>1</v>
      </c>
      <c r="I55" s="24">
        <v>1909.55</v>
      </c>
      <c r="J55" s="25">
        <v>1</v>
      </c>
      <c r="K55" s="24">
        <v>1909.55</v>
      </c>
      <c r="L55" s="25">
        <v>1</v>
      </c>
    </row>
    <row r="56" spans="1:12" x14ac:dyDescent="0.25">
      <c r="A56" s="23" t="s">
        <v>51</v>
      </c>
      <c r="B56" s="23" t="s">
        <v>57</v>
      </c>
      <c r="C56" s="23" t="s">
        <v>30</v>
      </c>
      <c r="D56" s="24">
        <v>95335.083678390001</v>
      </c>
      <c r="E56" s="24">
        <v>95335.083678390001</v>
      </c>
      <c r="F56" s="25">
        <v>1</v>
      </c>
      <c r="G56" s="24">
        <v>95335.083678390001</v>
      </c>
      <c r="H56" s="25">
        <v>1</v>
      </c>
      <c r="I56" s="24">
        <v>95335.083678390001</v>
      </c>
      <c r="J56" s="25">
        <v>1</v>
      </c>
      <c r="K56" s="24">
        <v>10725.196913819915</v>
      </c>
      <c r="L56" s="25">
        <v>0.11250000000001091</v>
      </c>
    </row>
    <row r="57" spans="1:12" x14ac:dyDescent="0.25">
      <c r="A57" s="23" t="s">
        <v>51</v>
      </c>
      <c r="B57" s="23" t="s">
        <v>55</v>
      </c>
      <c r="C57" s="23" t="s">
        <v>30</v>
      </c>
      <c r="D57" s="24">
        <v>120097.08</v>
      </c>
      <c r="E57" s="24">
        <v>120097.08</v>
      </c>
      <c r="F57" s="25">
        <v>1</v>
      </c>
      <c r="G57" s="24">
        <v>120097.08</v>
      </c>
      <c r="H57" s="25">
        <v>1</v>
      </c>
      <c r="I57" s="24">
        <v>120097.08</v>
      </c>
      <c r="J57" s="25">
        <v>1</v>
      </c>
      <c r="K57" s="24">
        <v>0</v>
      </c>
      <c r="L57" s="25">
        <v>0</v>
      </c>
    </row>
    <row r="58" spans="1:12" x14ac:dyDescent="0.25">
      <c r="A58" s="23" t="s">
        <v>51</v>
      </c>
      <c r="B58" s="23" t="s">
        <v>55</v>
      </c>
      <c r="C58" s="23" t="s">
        <v>56</v>
      </c>
      <c r="D58" s="24">
        <v>377.43</v>
      </c>
      <c r="E58" s="24">
        <v>377.43</v>
      </c>
      <c r="F58" s="25">
        <v>1</v>
      </c>
      <c r="G58" s="24">
        <v>377.43</v>
      </c>
      <c r="H58" s="25">
        <v>1</v>
      </c>
      <c r="I58" s="24">
        <v>377.43</v>
      </c>
      <c r="J58" s="25">
        <v>1</v>
      </c>
      <c r="K58" s="24">
        <v>0</v>
      </c>
      <c r="L58" s="25">
        <v>0</v>
      </c>
    </row>
    <row r="59" spans="1:12" x14ac:dyDescent="0.25">
      <c r="A59" s="23" t="s">
        <v>51</v>
      </c>
      <c r="B59" s="23" t="s">
        <v>55</v>
      </c>
      <c r="C59" s="23" t="s">
        <v>46</v>
      </c>
      <c r="D59" s="24">
        <v>14276.642999</v>
      </c>
      <c r="E59" s="24">
        <v>14276.642999</v>
      </c>
      <c r="F59" s="25">
        <v>1</v>
      </c>
      <c r="G59" s="24">
        <v>14276.642999</v>
      </c>
      <c r="H59" s="25">
        <v>1</v>
      </c>
      <c r="I59" s="24">
        <v>14276.642999</v>
      </c>
      <c r="J59" s="25">
        <v>1</v>
      </c>
      <c r="K59" s="24">
        <v>0</v>
      </c>
      <c r="L59" s="25">
        <v>0</v>
      </c>
    </row>
    <row r="60" spans="1:12" x14ac:dyDescent="0.25">
      <c r="A60" s="23" t="s">
        <v>51</v>
      </c>
      <c r="B60" s="23" t="s">
        <v>52</v>
      </c>
      <c r="C60" s="23" t="s">
        <v>30</v>
      </c>
      <c r="D60" s="24">
        <v>68960.590000000026</v>
      </c>
      <c r="E60" s="24">
        <v>68960.590000000026</v>
      </c>
      <c r="F60" s="25">
        <v>1</v>
      </c>
      <c r="G60" s="24">
        <v>68960.590000000026</v>
      </c>
      <c r="H60" s="25">
        <v>1</v>
      </c>
      <c r="I60" s="24">
        <v>68960.590000000026</v>
      </c>
      <c r="J60" s="25">
        <v>1</v>
      </c>
      <c r="K60" s="24">
        <v>10984.872743362903</v>
      </c>
      <c r="L60" s="25">
        <v>0.15929203539823106</v>
      </c>
    </row>
    <row r="61" spans="1:12" ht="30" x14ac:dyDescent="0.25">
      <c r="A61" s="25" t="s">
        <v>114</v>
      </c>
      <c r="B61" s="25" t="s">
        <v>114</v>
      </c>
      <c r="C61" s="25" t="s">
        <v>114</v>
      </c>
      <c r="D61" s="25" t="s">
        <v>116</v>
      </c>
      <c r="E61" s="25" t="s">
        <v>119</v>
      </c>
      <c r="F61" s="25" t="s">
        <v>114</v>
      </c>
      <c r="G61" s="25" t="s">
        <v>117</v>
      </c>
      <c r="H61" s="25" t="s">
        <v>114</v>
      </c>
      <c r="I61" s="25" t="s">
        <v>118</v>
      </c>
      <c r="J61" s="25" t="s">
        <v>114</v>
      </c>
      <c r="K61" s="25" t="s">
        <v>115</v>
      </c>
      <c r="L61" s="25" t="s">
        <v>114</v>
      </c>
    </row>
    <row r="64" spans="1:12" x14ac:dyDescent="0.25">
      <c r="D64" s="15">
        <v>3487757.6922947145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</vt:i4>
      </vt:variant>
    </vt:vector>
  </HeadingPairs>
  <TitlesOfParts>
    <vt:vector size="30" baseType="lpstr">
      <vt:lpstr>Report</vt:lpstr>
      <vt:lpstr>Progress_Report</vt:lpstr>
      <vt:lpstr>Dados</vt:lpstr>
      <vt:lpstr>Planilha22</vt:lpstr>
      <vt:lpstr>Planilha23</vt:lpstr>
      <vt:lpstr>Planilha21</vt:lpstr>
      <vt:lpstr>Planilha20</vt:lpstr>
      <vt:lpstr>Planilha19</vt:lpstr>
      <vt:lpstr>Planilha18</vt:lpstr>
      <vt:lpstr>Planilha17</vt:lpstr>
      <vt:lpstr>Planilha16</vt:lpstr>
      <vt:lpstr>Planilha15</vt:lpstr>
      <vt:lpstr>Planilha14</vt:lpstr>
      <vt:lpstr>Planilha13</vt:lpstr>
      <vt:lpstr>Planilha12</vt:lpstr>
      <vt:lpstr>Planilha11</vt:lpstr>
      <vt:lpstr>Planilha10</vt:lpstr>
      <vt:lpstr>Planilha9</vt:lpstr>
      <vt:lpstr>Planilha8</vt:lpstr>
      <vt:lpstr>Planilha7</vt:lpstr>
      <vt:lpstr>Planilha6</vt:lpstr>
      <vt:lpstr>Planilha5</vt:lpstr>
      <vt:lpstr>Planilha4</vt:lpstr>
      <vt:lpstr>FAB</vt:lpstr>
      <vt:lpstr>MNT</vt:lpstr>
      <vt:lpstr>Planilha3</vt:lpstr>
      <vt:lpstr>Planilha2</vt:lpstr>
      <vt:lpstr>Planilha1</vt:lpstr>
      <vt:lpstr>Progress_Report!Titulos_de_impressao</vt:lpstr>
      <vt:lpstr>Report!Titulos_de_impressao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Carlos Eduardo Barros Tomas da Silva</cp:lastModifiedBy>
  <cp:lastPrinted>2020-09-17T15:29:26Z</cp:lastPrinted>
  <dcterms:created xsi:type="dcterms:W3CDTF">2014-01-29T17:09:35Z</dcterms:created>
  <dcterms:modified xsi:type="dcterms:W3CDTF">2021-12-10T13:30:21Z</dcterms:modified>
</cp:coreProperties>
</file>